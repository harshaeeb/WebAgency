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Monthly Projection" sheetId="3" state="visible" r:id="rId5"/>
    <sheet name="Path to $5K" sheetId="4" state="visible" r:id="rId6"/>
    <sheet name="Lead Tracker" sheetId="5" state="visible" r:id="rId7"/>
    <sheet name="Search Query Lis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<sst xmlns="http://schemas.openxmlformats.org/spreadsheetml/2006/main" count="338" uniqueCount="198">
  <si>
    <t xml:space="preserve">Local Website Business — Financial Model</t>
  </si>
  <si>
    <t xml:space="preserve">How to use this workbook</t>
  </si>
  <si>
    <t xml:space="preserve">This model turns your client count and pricing into a monthly income projection, and shows exactly</t>
  </si>
  <si>
    <t xml:space="preserve">how many clients you need to hit $5,000/month. Edit only the YELLOW cells — everything else</t>
  </si>
  <si>
    <t xml:space="preserve">calculates automatically.</t>
  </si>
  <si>
    <t xml:space="preserve">Tabs in this workbook:</t>
  </si>
  <si>
    <t xml:space="preserve">  1. Assumptions — your prices, costs, and conversion rates. Start here.</t>
  </si>
  <si>
    <t xml:space="preserve">  2. Monthly Projection — a 12-month build-out of clients, revenue, costs, and profit.</t>
  </si>
  <si>
    <t xml:space="preserve">  3. Path to $5K — shows the mix of one-time builds + recurring care plans needed to hit goal.</t>
  </si>
  <si>
    <t xml:space="preserve">  4. Lead Tracker — a simple CRM for logging prospects found via Google Maps/Yelp, with status.</t>
  </si>
  <si>
    <t xml:space="preserve">Key idea: one-time website builds give you cash bursts, but MONTHLY CARE PLAN clients are what</t>
  </si>
  <si>
    <t xml:space="preserve">make $5,000/month stable. The Path to $5K tab shows why a mix of both is more realistic than</t>
  </si>
  <si>
    <t xml:space="preserve">relying on new sales every single month.</t>
  </si>
  <si>
    <t xml:space="preserve">All dollar figures are illustrative starting points based on US small-business market pricing —</t>
  </si>
  <si>
    <t xml:space="preserve">adjust the yellow cells in Assumptions to match your real numbers as you learn them.</t>
  </si>
  <si>
    <t xml:space="preserve">Assumptions  (edit yellow cells)</t>
  </si>
  <si>
    <t xml:space="preserve">Pricing</t>
  </si>
  <si>
    <t xml:space="preserve">Item</t>
  </si>
  <si>
    <t xml:space="preserve">Value</t>
  </si>
  <si>
    <t xml:space="preserve">Calculated: new clients won per month</t>
  </si>
  <si>
    <t xml:space="preserve">One-time build fee (per new client)</t>
  </si>
  <si>
    <t xml:space="preserve">Calculated: weekly conversations</t>
  </si>
  <si>
    <t xml:space="preserve">Deposit % collected upfront</t>
  </si>
  <si>
    <t xml:space="preserve">These funnel rates are rough starting estimates — track real numbers in the Lead Tracker tab and update the yellow cells above as you learn your actual conversion rates.</t>
  </si>
  <si>
    <t xml:space="preserve">Monthly care plan fee (per client)</t>
  </si>
  <si>
    <t xml:space="preserve">Domain cost passed to client (per year)</t>
  </si>
  <si>
    <t xml:space="preserve">Your Costs (per client)</t>
  </si>
  <si>
    <t xml:space="preserve">Hosting cost per site (per month)</t>
  </si>
  <si>
    <t xml:space="preserve">Domain cost (per month, amortized)</t>
  </si>
  <si>
    <t xml:space="preserve">Tools/software (per month, flat across all clients)</t>
  </si>
  <si>
    <t xml:space="preserve">Payment processing fee</t>
  </si>
  <si>
    <t xml:space="preserve">Sales Funnel Assumptions</t>
  </si>
  <si>
    <t xml:space="preserve">Outreach contacts per week (calls/emails/walk-ins)</t>
  </si>
  <si>
    <t xml:space="preserve">Contact → conversation rate</t>
  </si>
  <si>
    <t xml:space="preserve">Conversation → client conversion rate</t>
  </si>
  <si>
    <t xml:space="preserve">% of new clients who also take the care plan</t>
  </si>
  <si>
    <t xml:space="preserve">Monthly care-plan client churn rate</t>
  </si>
  <si>
    <t xml:space="preserve">Goal</t>
  </si>
  <si>
    <t xml:space="preserve">Target monthly income</t>
  </si>
  <si>
    <t xml:space="preserve">12-Month Projection</t>
  </si>
  <si>
    <t xml:space="preserve">New clients/month below defaults to the funnel calculation from Assumptions — overwrite any month (yellow) to model a slower or faster start.</t>
  </si>
  <si>
    <t xml:space="preserve">Metric</t>
  </si>
  <si>
    <t xml:space="preserve">Month 1</t>
  </si>
  <si>
    <t xml:space="preserve">Month 2</t>
  </si>
  <si>
    <t xml:space="preserve">Month 3</t>
  </si>
  <si>
    <t xml:space="preserve">Month 4</t>
  </si>
  <si>
    <t xml:space="preserve">Month 5</t>
  </si>
  <si>
    <t xml:space="preserve">Month 6</t>
  </si>
  <si>
    <t xml:space="preserve">Month 7</t>
  </si>
  <si>
    <t xml:space="preserve">Month 8</t>
  </si>
  <si>
    <t xml:space="preserve">Month 9</t>
  </si>
  <si>
    <t xml:space="preserve">Month 10</t>
  </si>
  <si>
    <t xml:space="preserve">Month 11</t>
  </si>
  <si>
    <t xml:space="preserve">Month 12</t>
  </si>
  <si>
    <t xml:space="preserve">New clients won this month</t>
  </si>
  <si>
    <t xml:space="preserve">Cumulative active care-plan clients</t>
  </si>
  <si>
    <t xml:space="preserve">Build revenue (one-time fees)</t>
  </si>
  <si>
    <t xml:space="preserve">Care plan revenue (recurring)</t>
  </si>
  <si>
    <t xml:space="preserve">Total revenue</t>
  </si>
  <si>
    <t xml:space="preserve">Hosting + domain costs</t>
  </si>
  <si>
    <t xml:space="preserve">Payment processing fees</t>
  </si>
  <si>
    <t xml:space="preserve">Tools/software (flat)</t>
  </si>
  <si>
    <t xml:space="preserve">Total costs</t>
  </si>
  <si>
    <t xml:space="preserve">Monthly profit</t>
  </si>
  <si>
    <t xml:space="preserve">Gap to $5K goal</t>
  </si>
  <si>
    <t xml:space="preserve">Path to $5,000/Month — Scenario Comparison</t>
  </si>
  <si>
    <t xml:space="preserve">Scenario A — New Builds Only (no recurring revenue)</t>
  </si>
  <si>
    <t xml:space="preserve">Two ways to hit the same income goal. The 'New builds only' scenario requires selling every single month forever — miss a month, income drops to zero. The 'Recurring-heavy' scenario builds a stable income floor from care-plan clients, topped up with fewer new sales needed each month. This is why the plan recommends prioritizing the care plan attach rate.</t>
  </si>
  <si>
    <t xml:space="preserve">Build fee per client</t>
  </si>
  <si>
    <t xml:space="preserve">New clients needed per month for $5K</t>
  </si>
  <si>
    <t xml:space="preserve">Sustaining this requires winning this many NEW clients every single month, indefinitely — a constant treadmill with no income floor.</t>
  </si>
  <si>
    <t xml:space="preserve">Scenario B — Recurring-Heavy (recommended)</t>
  </si>
  <si>
    <t xml:space="preserve">Target recurring (care-plan) clients</t>
  </si>
  <si>
    <t xml:space="preserve">Care plan fee</t>
  </si>
  <si>
    <t xml:space="preserve">Recurring income floor</t>
  </si>
  <si>
    <t xml:space="preserve">Remaining gap to close with new builds</t>
  </si>
  <si>
    <t xml:space="preserve">New builds needed per month to close gap</t>
  </si>
  <si>
    <t xml:space="preserve">Once you reach the target recurring client count, you only need this many new builds per month — far more forgiving than Scenario A, and income doesn't reset to zero in a slow month.</t>
  </si>
  <si>
    <t xml:space="preserve">How many months to build the recurring base?</t>
  </si>
  <si>
    <t xml:space="preserve">New clients won per month (from Assumptions funnel)</t>
  </si>
  <si>
    <t xml:space="preserve">% of new clients who take the care plan</t>
  </si>
  <si>
    <t xml:space="preserve">New recurring clients added per month</t>
  </si>
  <si>
    <t xml:space="preserve">Months to reach target recurring client count*</t>
  </si>
  <si>
    <t xml:space="preserve">*Simplified estimate ignoring churn — see Monthly Projection tab for the churn-adjusted month-by-month build-out.</t>
  </si>
  <si>
    <t xml:space="preserve">Lead Tracker</t>
  </si>
  <si>
    <t xml:space="preserve">Log prospects found via Google Maps/Yelp here. Status dropdown and conditional color-coding included. Add rows as needed — formatting will not auto-extend past row 60, copy the row format down if you need more.</t>
  </si>
  <si>
    <t xml:space="preserve">Business Name</t>
  </si>
  <si>
    <t xml:space="preserve">Niche/Category</t>
  </si>
  <si>
    <t xml:space="preserve"># Reviews</t>
  </si>
  <si>
    <t xml:space="preserve">Rating</t>
  </si>
  <si>
    <t xml:space="preserve">Phone / Contact</t>
  </si>
  <si>
    <t xml:space="preserve">Source (Maps/Yelp/Drive-by)</t>
  </si>
  <si>
    <t xml:space="preserve">Outreach Date</t>
  </si>
  <si>
    <t xml:space="preserve">Status</t>
  </si>
  <si>
    <t xml:space="preserve">Next Follow-up</t>
  </si>
  <si>
    <t xml:space="preserve">Notes</t>
  </si>
  <si>
    <t xml:space="preserve">Search Query List — North Dallas Blue-Collar Trades</t>
  </si>
  <si>
    <t xml:space="preserve">Run each row as a separate Google Maps search (e.g. "HVAC repair Frisco TX") — Google Maps caps results around 120 per area, so searching by suburb instead of the whole metro avoids missing listings. Paste the Search Query directly into Google Maps or your scraping tool. Track progress in the yellow columns as you go.</t>
  </si>
  <si>
    <t xml:space="preserve">Trade Category</t>
  </si>
  <si>
    <t xml:space="preserve">Suburb</t>
  </si>
  <si>
    <t xml:space="preserve">Search Query (paste into Google Maps)</t>
  </si>
  <si>
    <t xml:space="preserve">Date Run</t>
  </si>
  <si>
    <t xml:space="preserve"># Results</t>
  </si>
  <si>
    <t xml:space="preserve"># No-Website Leads</t>
  </si>
  <si>
    <t xml:space="preserve">HVAC repair</t>
  </si>
  <si>
    <t xml:space="preserve">Frisco TX</t>
  </si>
  <si>
    <t xml:space="preserve">HVAC repair Frisco TX</t>
  </si>
  <si>
    <t xml:space="preserve">Plano TX</t>
  </si>
  <si>
    <t xml:space="preserve">HVAC repair Plano TX</t>
  </si>
  <si>
    <t xml:space="preserve">McKinney TX</t>
  </si>
  <si>
    <t xml:space="preserve">HVAC repair McKinney TX</t>
  </si>
  <si>
    <t xml:space="preserve">Allen TX</t>
  </si>
  <si>
    <t xml:space="preserve">HVAC repair Allen TX</t>
  </si>
  <si>
    <t xml:space="preserve">The Colony TX</t>
  </si>
  <si>
    <t xml:space="preserve">HVAC repair The Colony TX</t>
  </si>
  <si>
    <t xml:space="preserve">Prosper TX</t>
  </si>
  <si>
    <t xml:space="preserve">HVAC repair Prosper TX</t>
  </si>
  <si>
    <t xml:space="preserve">Plumbing</t>
  </si>
  <si>
    <t xml:space="preserve">Plumbing Frisco TX</t>
  </si>
  <si>
    <t xml:space="preserve">Plumbing Plano TX</t>
  </si>
  <si>
    <t xml:space="preserve">Plumbing McKinney TX</t>
  </si>
  <si>
    <t xml:space="preserve">Plumbing Allen TX</t>
  </si>
  <si>
    <t xml:space="preserve">Plumbing The Colony TX</t>
  </si>
  <si>
    <t xml:space="preserve">Plumbing Prosper TX</t>
  </si>
  <si>
    <t xml:space="preserve">Electrician</t>
  </si>
  <si>
    <t xml:space="preserve">Electrician Frisco TX</t>
  </si>
  <si>
    <t xml:space="preserve">Electrician Plano TX</t>
  </si>
  <si>
    <t xml:space="preserve">Electrician McKinney TX</t>
  </si>
  <si>
    <t xml:space="preserve">Electrician Allen TX</t>
  </si>
  <si>
    <t xml:space="preserve">Electrician The Colony TX</t>
  </si>
  <si>
    <t xml:space="preserve">Electrician Prosper TX</t>
  </si>
  <si>
    <t xml:space="preserve">Roofing contractor</t>
  </si>
  <si>
    <t xml:space="preserve">Roofing contractor Frisco TX</t>
  </si>
  <si>
    <t xml:space="preserve">Roofing contractor Plano TX</t>
  </si>
  <si>
    <t xml:space="preserve">Roofing contractor McKinney TX</t>
  </si>
  <si>
    <t xml:space="preserve">Roofing contractor Allen TX</t>
  </si>
  <si>
    <t xml:space="preserve">Roofing contractor The Colony TX</t>
  </si>
  <si>
    <t xml:space="preserve">Roofing contractor Prosper TX</t>
  </si>
  <si>
    <t xml:space="preserve">Garage door repair</t>
  </si>
  <si>
    <t xml:space="preserve">Garage door repair Frisco TX</t>
  </si>
  <si>
    <t xml:space="preserve">Garage door repair Plano TX</t>
  </si>
  <si>
    <t xml:space="preserve">Garage door repair McKinney TX</t>
  </si>
  <si>
    <t xml:space="preserve">Garage door repair Allen TX</t>
  </si>
  <si>
    <t xml:space="preserve">Garage door repair The Colony TX</t>
  </si>
  <si>
    <t xml:space="preserve">Garage door repair Prosper TX</t>
  </si>
  <si>
    <t xml:space="preserve">Pest control</t>
  </si>
  <si>
    <t xml:space="preserve">Pest control Frisco TX</t>
  </si>
  <si>
    <t xml:space="preserve">Pest control Plano TX</t>
  </si>
  <si>
    <t xml:space="preserve">Pest control McKinney TX</t>
  </si>
  <si>
    <t xml:space="preserve">Pest control Allen TX</t>
  </si>
  <si>
    <t xml:space="preserve">Pest control The Colony TX</t>
  </si>
  <si>
    <t xml:space="preserve">Pest control Prosper TX</t>
  </si>
  <si>
    <t xml:space="preserve">Foundation repair</t>
  </si>
  <si>
    <t xml:space="preserve">Foundation repair Frisco TX</t>
  </si>
  <si>
    <t xml:space="preserve">Foundation repair Plano TX</t>
  </si>
  <si>
    <t xml:space="preserve">Foundation repair McKinney TX</t>
  </si>
  <si>
    <t xml:space="preserve">Foundation repair Allen TX</t>
  </si>
  <si>
    <t xml:space="preserve">Foundation repair The Colony TX</t>
  </si>
  <si>
    <t xml:space="preserve">Foundation repair Prosper TX</t>
  </si>
  <si>
    <t xml:space="preserve">Fence contractor</t>
  </si>
  <si>
    <t xml:space="preserve">Fence contractor Frisco TX</t>
  </si>
  <si>
    <t xml:space="preserve">Fence contractor Plano TX</t>
  </si>
  <si>
    <t xml:space="preserve">Fence contractor McKinney TX</t>
  </si>
  <si>
    <t xml:space="preserve">Fence contractor Allen TX</t>
  </si>
  <si>
    <t xml:space="preserve">Fence contractor The Colony TX</t>
  </si>
  <si>
    <t xml:space="preserve">Fence contractor Prosper TX</t>
  </si>
  <si>
    <t xml:space="preserve">Tree service</t>
  </si>
  <si>
    <t xml:space="preserve">Tree service Frisco TX</t>
  </si>
  <si>
    <t xml:space="preserve">Tree service Plano TX</t>
  </si>
  <si>
    <t xml:space="preserve">Tree service McKinney TX</t>
  </si>
  <si>
    <t xml:space="preserve">Tree service Allen TX</t>
  </si>
  <si>
    <t xml:space="preserve">Tree service The Colony TX</t>
  </si>
  <si>
    <t xml:space="preserve">Tree service Prosper TX</t>
  </si>
  <si>
    <t xml:space="preserve">Appliance repair</t>
  </si>
  <si>
    <t xml:space="preserve">Appliance repair Frisco TX</t>
  </si>
  <si>
    <t xml:space="preserve">Appliance repair Plano TX</t>
  </si>
  <si>
    <t xml:space="preserve">Appliance repair McKinney TX</t>
  </si>
  <si>
    <t xml:space="preserve">Appliance repair Allen TX</t>
  </si>
  <si>
    <t xml:space="preserve">Appliance repair The Colony TX</t>
  </si>
  <si>
    <t xml:space="preserve">Appliance repair Prosper TX</t>
  </si>
  <si>
    <t xml:space="preserve">Locksmith</t>
  </si>
  <si>
    <t xml:space="preserve">Locksmith Frisco TX</t>
  </si>
  <si>
    <t xml:space="preserve">Locksmith Plano TX</t>
  </si>
  <si>
    <t xml:space="preserve">Locksmith McKinney TX</t>
  </si>
  <si>
    <t xml:space="preserve">Locksmith Allen TX</t>
  </si>
  <si>
    <t xml:space="preserve">Locksmith The Colony TX</t>
  </si>
  <si>
    <t xml:space="preserve">Locksmith Prosper TX</t>
  </si>
  <si>
    <t xml:space="preserve">Pool service repair</t>
  </si>
  <si>
    <t xml:space="preserve">Pool service repair Frisco TX</t>
  </si>
  <si>
    <t xml:space="preserve">Pool service repair Plano TX</t>
  </si>
  <si>
    <t xml:space="preserve">Pool service repair McKinney TX</t>
  </si>
  <si>
    <t xml:space="preserve">Pool service repair Allen TX</t>
  </si>
  <si>
    <t xml:space="preserve">Pool service repair The Colony TX</t>
  </si>
  <si>
    <t xml:space="preserve">Pool service repair Prosper TX</t>
  </si>
  <si>
    <t xml:space="preserve">Total searches:</t>
  </si>
  <si>
    <t xml:space="preserve">Searches done:</t>
  </si>
  <si>
    <t xml:space="preserve">Total no-website leads found:</t>
  </si>
  <si>
    <t xml:space="preserve">Tip: work top-to-bottom by trade, not suburb — staying in one trade category at a time keeps your sample homepage / pitch consistent across calls, per the niche-down strategy.</t>
  </si>
</sst>
</file>

<file path=xl/styles.xml><?xml version="1.0" encoding="utf-8"?>
<styleSheet xmlns="http://schemas.openxmlformats.org/spreadsheetml/2006/main">
  <numFmts count="7">
    <numFmt numFmtId="164" formatCode="General"/>
    <numFmt numFmtId="165" formatCode="#,##0;\(#,##0\);\-"/>
    <numFmt numFmtId="166" formatCode="\$#,##0;&quot;($&quot;#,##0\);\-"/>
    <numFmt numFmtId="167" formatCode="0.0%"/>
    <numFmt numFmtId="168" formatCode="0.0"/>
    <numFmt numFmtId="169" formatCode="#,##0;\(#,##0\);\-"/>
    <numFmt numFmtId="170"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1F3864"/>
      <name val="Arial"/>
      <family val="0"/>
      <charset val="1"/>
    </font>
    <font>
      <sz val="11"/>
      <color rgb="FF000000"/>
      <name val="Arial"/>
      <family val="0"/>
      <charset val="1"/>
    </font>
    <font>
      <b val="true"/>
      <sz val="12"/>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i val="true"/>
      <sz val="9"/>
      <color rgb="FF666666"/>
      <name val="Arial"/>
      <family val="0"/>
      <charset val="1"/>
    </font>
    <font>
      <b val="true"/>
      <sz val="10"/>
      <color rgb="FF1F3864"/>
      <name val="Arial"/>
      <family val="0"/>
      <charset val="1"/>
    </font>
    <font>
      <b val="true"/>
      <sz val="10"/>
      <color rgb="FF2E75B6"/>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2E75B6"/>
        <bgColor rgb="FF4472C4"/>
      </patternFill>
    </fill>
    <fill>
      <patternFill patternType="solid">
        <fgColor rgb="FF4472C4"/>
        <bgColor rgb="FF2E75B6"/>
      </patternFill>
    </fill>
    <fill>
      <patternFill patternType="solid">
        <fgColor rgb="FFF2F2F2"/>
        <bgColor rgb="FFF7F9FC"/>
      </patternFill>
    </fill>
    <fill>
      <patternFill patternType="solid">
        <fgColor rgb="FFFFF2CC"/>
        <bgColor rgb="FFFCE4D6"/>
      </patternFill>
    </fill>
    <fill>
      <patternFill patternType="solid">
        <fgColor rgb="FFD9E8F5"/>
        <bgColor rgb="FFD9E1F2"/>
      </patternFill>
    </fill>
    <fill>
      <patternFill patternType="solid">
        <fgColor rgb="FFF7F9F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3" borderId="0" xfId="0" applyFont="true" applyBorder="true" applyAlignment="true" applyProtection="false">
      <alignment horizontal="left" vertical="center" textRotation="0" wrapText="false" indent="1"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5" fontId="10" fillId="5"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6" fontId="11" fillId="6" borderId="1" xfId="0" applyFont="true" applyBorder="true" applyAlignment="true" applyProtection="false">
      <alignment horizontal="center" vertical="center" textRotation="0" wrapText="false" indent="0" shrinkToFit="false"/>
      <protection locked="true" hidden="false"/>
    </xf>
    <xf numFmtId="167" fontId="11" fillId="6"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5" fontId="11" fillId="6"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6" fontId="9" fillId="7" borderId="1" xfId="0" applyFont="true" applyBorder="true" applyAlignment="true" applyProtection="false">
      <alignment horizontal="center" vertical="center" textRotation="0" wrapText="false" indent="0" shrinkToFit="false"/>
      <protection locked="true" hidden="false"/>
    </xf>
    <xf numFmtId="166" fontId="13" fillId="7" borderId="1" xfId="0" applyFont="true" applyBorder="true" applyAlignment="true" applyProtection="false">
      <alignment horizontal="center" vertical="center" textRotation="0" wrapText="false" indent="0" shrinkToFit="false"/>
      <protection locked="true" hidden="false"/>
    </xf>
    <xf numFmtId="165" fontId="9" fillId="7"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general" vertical="center" textRotation="0" wrapText="false" indent="0" shrinkToFit="false"/>
      <protection locked="true" hidden="false"/>
    </xf>
    <xf numFmtId="165" fontId="10" fillId="8" borderId="1" xfId="0" applyFont="true" applyBorder="true" applyAlignment="true" applyProtection="false">
      <alignment horizontal="center" vertical="center" textRotation="0" wrapText="false" indent="0" shrinkToFit="false"/>
      <protection locked="true" hidden="false"/>
    </xf>
    <xf numFmtId="168" fontId="10" fillId="8"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8"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4" fillId="8" borderId="1" xfId="0" applyFont="true" applyBorder="true" applyAlignment="true" applyProtection="false">
      <alignment horizontal="general"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9" fontId="10" fillId="8"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9" fontId="10"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0" fontId="10" fillId="7" borderId="1" xfId="0" applyFont="true" applyBorder="true" applyAlignment="true" applyProtection="false">
      <alignment horizontal="center" vertical="bottom" textRotation="0" wrapText="false" indent="0" shrinkToFit="false"/>
      <protection locked="true" hidden="false"/>
    </xf>
    <xf numFmtId="170" fontId="13" fillId="7"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bgColor rgb="FFC6E0B4"/>
        </patternFill>
      </fill>
    </dxf>
    <dxf>
      <fill>
        <patternFill>
          <bgColor rgb="FFF8CBAD"/>
        </patternFill>
      </fill>
    </dxf>
    <dxf>
      <fill>
        <patternFill>
          <bgColor rgb="FFD9E1F2"/>
        </patternFill>
      </fill>
    </dxf>
    <dxf>
      <fill>
        <patternFill>
          <bgColor rgb="FFFFF2CC"/>
        </patternFill>
      </fill>
    </dxf>
    <dxf>
      <fill>
        <patternFill>
          <bgColor rgb="FFFCE4D6"/>
        </patternFill>
      </fill>
    </dxf>
    <dxf>
      <fill>
        <patternFill>
          <bgColor rgb="FFFFE699"/>
        </patternFill>
      </fill>
    </dxf>
    <dxf>
      <fill>
        <patternFill>
          <bgColor rgb="FFD9D9D9"/>
        </patternFill>
      </fill>
    </dxf>
    <dxf>
      <fill>
        <patternFill>
          <bgColor rgb="FFF2F2F2"/>
        </patternFill>
      </fill>
    </dxf>
    <dxf>
      <fill>
        <patternFill>
          <bgColor rgb="FFFFF2CC"/>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8F5"/>
      <rgbColor rgb="FF660066"/>
      <rgbColor rgb="FFFF8080"/>
      <rgbColor rgb="FF2E75B6"/>
      <rgbColor rgb="FFD9D9D9"/>
      <rgbColor rgb="FF000080"/>
      <rgbColor rgb="FFFF00FF"/>
      <rgbColor rgb="FFFFFF00"/>
      <rgbColor rgb="FF00FFFF"/>
      <rgbColor rgb="FF800080"/>
      <rgbColor rgb="FF800000"/>
      <rgbColor rgb="FF008080"/>
      <rgbColor rgb="FF0000FF"/>
      <rgbColor rgb="FF00CCFF"/>
      <rgbColor rgb="FFF2F2F2"/>
      <rgbColor rgb="FFC6E0B4"/>
      <rgbColor rgb="FFFFE699"/>
      <rgbColor rgb="FFD9E1F2"/>
      <rgbColor rgb="FFFCE4D6"/>
      <rgbColor rgb="FFF7F9FC"/>
      <rgbColor rgb="FFF8CBAD"/>
      <rgbColor rgb="FF4472C4"/>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5"/>
  </cols>
  <sheetData>
    <row r="1" customFormat="false" ht="30" hidden="false" customHeight="true" outlineLevel="0" collapsed="false">
      <c r="A1" s="2" t="s">
        <v>0</v>
      </c>
      <c r="B1" s="2"/>
    </row>
    <row r="2" customFormat="false" ht="6" hidden="false" customHeight="true" outlineLevel="0" collapsed="false"/>
    <row r="4" customFormat="false" ht="15" hidden="false" customHeight="true" outlineLevel="0" collapsed="false">
      <c r="B4" s="3" t="s">
        <v>1</v>
      </c>
    </row>
    <row r="5" customFormat="false" ht="15" hidden="false" customHeight="true" outlineLevel="0" collapsed="false">
      <c r="B5" s="4" t="s">
        <v>2</v>
      </c>
    </row>
    <row r="6" customFormat="false" ht="15" hidden="false" customHeight="true" outlineLevel="0" collapsed="false">
      <c r="B6" s="4" t="s">
        <v>3</v>
      </c>
    </row>
    <row r="7" customFormat="false" ht="15" hidden="false" customHeight="true" outlineLevel="0" collapsed="false">
      <c r="B7" s="4" t="s">
        <v>4</v>
      </c>
    </row>
    <row r="8" customFormat="false" ht="15" hidden="false" customHeight="true" outlineLevel="0" collapsed="false">
      <c r="B8" s="4"/>
    </row>
    <row r="9" customFormat="false" ht="15" hidden="false" customHeight="true" outlineLevel="0" collapsed="false">
      <c r="B9" s="3" t="s">
        <v>5</v>
      </c>
    </row>
    <row r="10" customFormat="false" ht="15" hidden="false" customHeight="true" outlineLevel="0" collapsed="false">
      <c r="B10" s="4" t="s">
        <v>6</v>
      </c>
    </row>
    <row r="11" customFormat="false" ht="15" hidden="false" customHeight="true" outlineLevel="0" collapsed="false">
      <c r="B11" s="4" t="s">
        <v>7</v>
      </c>
    </row>
    <row r="12" customFormat="false" ht="15" hidden="false" customHeight="true" outlineLevel="0" collapsed="false">
      <c r="B12" s="4" t="s">
        <v>8</v>
      </c>
    </row>
    <row r="13" customFormat="false" ht="15" hidden="false" customHeight="true" outlineLevel="0" collapsed="false">
      <c r="B13" s="4" t="s">
        <v>9</v>
      </c>
    </row>
    <row r="14" customFormat="false" ht="15" hidden="false" customHeight="true" outlineLevel="0" collapsed="false">
      <c r="B14" s="4"/>
    </row>
    <row r="15" customFormat="false" ht="26.25" hidden="false" customHeight="true" outlineLevel="0" collapsed="false">
      <c r="B15" s="3" t="s">
        <v>10</v>
      </c>
    </row>
    <row r="16" customFormat="false" ht="15" hidden="false" customHeight="true" outlineLevel="0" collapsed="false">
      <c r="B16" s="4" t="s">
        <v>11</v>
      </c>
    </row>
    <row r="17" customFormat="false" ht="15" hidden="false" customHeight="true" outlineLevel="0" collapsed="false">
      <c r="B17" s="4" t="s">
        <v>12</v>
      </c>
    </row>
    <row r="18" customFormat="false" ht="15" hidden="false" customHeight="true" outlineLevel="0" collapsed="false">
      <c r="B18" s="4"/>
    </row>
    <row r="19" customFormat="false" ht="15" hidden="false" customHeight="true" outlineLevel="0" collapsed="false">
      <c r="B19" s="4" t="s">
        <v>13</v>
      </c>
    </row>
    <row r="20" customFormat="false" ht="15" hidden="false" customHeight="true" outlineLevel="0" collapsed="false">
      <c r="B20" s="4" t="s">
        <v>14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3" min="3" style="1" width="16"/>
    <col collapsed="false" customWidth="true" hidden="false" outlineLevel="0" max="4" min="4" style="1" width="4"/>
    <col collapsed="false" customWidth="true" hidden="false" outlineLevel="0" max="5" min="5" style="1" width="46"/>
    <col collapsed="false" customWidth="true" hidden="false" outlineLevel="0" max="6" min="6" style="1" width="16"/>
  </cols>
  <sheetData>
    <row r="1" customFormat="false" ht="21.75" hidden="false" customHeight="true" outlineLevel="0" collapsed="false">
      <c r="A1" s="2" t="s">
        <v>15</v>
      </c>
      <c r="B1" s="2"/>
      <c r="C1" s="2"/>
      <c r="D1" s="2"/>
      <c r="E1" s="2"/>
      <c r="F1" s="2"/>
    </row>
    <row r="2" customFormat="false" ht="6" hidden="false" customHeight="true" outlineLevel="0" collapsed="false"/>
    <row r="3" customFormat="false" ht="19.5" hidden="false" customHeight="true" outlineLevel="0" collapsed="false">
      <c r="B3" s="5" t="s">
        <v>16</v>
      </c>
      <c r="C3" s="5"/>
    </row>
    <row r="4" customFormat="false" ht="27.75" hidden="false" customHeight="true" outlineLevel="0" collapsed="false">
      <c r="B4" s="6" t="s">
        <v>17</v>
      </c>
      <c r="C4" s="6" t="s">
        <v>18</v>
      </c>
      <c r="E4" s="7" t="s">
        <v>19</v>
      </c>
      <c r="F4" s="8" t="n">
        <f aca="false">ROUND(C19*4*C20*C21,1)</f>
        <v>2.4</v>
      </c>
    </row>
    <row r="5" customFormat="false" ht="15" hidden="false" customHeight="true" outlineLevel="0" collapsed="false">
      <c r="B5" s="9" t="s">
        <v>20</v>
      </c>
      <c r="C5" s="10" t="n">
        <v>1200</v>
      </c>
      <c r="E5" s="7" t="s">
        <v>21</v>
      </c>
      <c r="F5" s="8" t="n">
        <f aca="false">ROUND(C19*C20,1)</f>
        <v>5</v>
      </c>
    </row>
    <row r="6" customFormat="false" ht="45" hidden="false" customHeight="true" outlineLevel="0" collapsed="false">
      <c r="B6" s="9" t="s">
        <v>22</v>
      </c>
      <c r="C6" s="11" t="n">
        <v>0.5</v>
      </c>
      <c r="E6" s="12" t="s">
        <v>23</v>
      </c>
      <c r="F6" s="12"/>
    </row>
    <row r="7" customFormat="false" ht="15" hidden="false" customHeight="true" outlineLevel="0" collapsed="false">
      <c r="B7" s="9" t="s">
        <v>24</v>
      </c>
      <c r="C7" s="10" t="n">
        <v>99</v>
      </c>
    </row>
    <row r="8" customFormat="false" ht="15" hidden="false" customHeight="true" outlineLevel="0" collapsed="false">
      <c r="B8" s="9" t="s">
        <v>25</v>
      </c>
      <c r="C8" s="10" t="n">
        <v>15</v>
      </c>
    </row>
    <row r="10" customFormat="false" ht="19.5" hidden="false" customHeight="true" outlineLevel="0" collapsed="false">
      <c r="B10" s="5" t="s">
        <v>26</v>
      </c>
      <c r="C10" s="5"/>
    </row>
    <row r="11" customFormat="false" ht="27.75" hidden="false" customHeight="true" outlineLevel="0" collapsed="false">
      <c r="B11" s="6" t="s">
        <v>17</v>
      </c>
      <c r="C11" s="6" t="s">
        <v>18</v>
      </c>
    </row>
    <row r="12" customFormat="false" ht="15" hidden="false" customHeight="true" outlineLevel="0" collapsed="false">
      <c r="B12" s="9" t="s">
        <v>27</v>
      </c>
      <c r="C12" s="10" t="n">
        <v>3</v>
      </c>
    </row>
    <row r="13" customFormat="false" ht="15" hidden="false" customHeight="true" outlineLevel="0" collapsed="false">
      <c r="B13" s="9" t="s">
        <v>28</v>
      </c>
      <c r="C13" s="10" t="n">
        <v>1.25</v>
      </c>
    </row>
    <row r="14" customFormat="false" ht="15" hidden="false" customHeight="true" outlineLevel="0" collapsed="false">
      <c r="B14" s="9" t="s">
        <v>29</v>
      </c>
      <c r="C14" s="10" t="n">
        <v>20</v>
      </c>
    </row>
    <row r="15" customFormat="false" ht="15" hidden="false" customHeight="true" outlineLevel="0" collapsed="false">
      <c r="B15" s="9" t="s">
        <v>30</v>
      </c>
      <c r="C15" s="11" t="n">
        <v>0.03</v>
      </c>
    </row>
    <row r="17" customFormat="false" ht="19.5" hidden="false" customHeight="true" outlineLevel="0" collapsed="false">
      <c r="B17" s="5" t="s">
        <v>31</v>
      </c>
      <c r="C17" s="5"/>
    </row>
    <row r="18" customFormat="false" ht="27.75" hidden="false" customHeight="true" outlineLevel="0" collapsed="false">
      <c r="B18" s="6" t="s">
        <v>17</v>
      </c>
      <c r="C18" s="6" t="s">
        <v>18</v>
      </c>
    </row>
    <row r="19" customFormat="false" ht="15" hidden="false" customHeight="true" outlineLevel="0" collapsed="false">
      <c r="B19" s="9" t="s">
        <v>32</v>
      </c>
      <c r="C19" s="13" t="n">
        <v>20</v>
      </c>
    </row>
    <row r="20" customFormat="false" ht="15" hidden="false" customHeight="true" outlineLevel="0" collapsed="false">
      <c r="B20" s="9" t="s">
        <v>33</v>
      </c>
      <c r="C20" s="11" t="n">
        <v>0.25</v>
      </c>
    </row>
    <row r="21" customFormat="false" ht="15" hidden="false" customHeight="true" outlineLevel="0" collapsed="false">
      <c r="B21" s="9" t="s">
        <v>34</v>
      </c>
      <c r="C21" s="11" t="n">
        <v>0.12</v>
      </c>
    </row>
    <row r="22" customFormat="false" ht="15" hidden="false" customHeight="true" outlineLevel="0" collapsed="false">
      <c r="B22" s="9" t="s">
        <v>35</v>
      </c>
      <c r="C22" s="11" t="n">
        <v>0.85</v>
      </c>
    </row>
    <row r="23" customFormat="false" ht="15" hidden="false" customHeight="true" outlineLevel="0" collapsed="false">
      <c r="B23" s="9" t="s">
        <v>36</v>
      </c>
      <c r="C23" s="11" t="n">
        <v>0.04</v>
      </c>
    </row>
    <row r="25" customFormat="false" ht="19.5" hidden="false" customHeight="true" outlineLevel="0" collapsed="false">
      <c r="B25" s="5" t="s">
        <v>37</v>
      </c>
      <c r="C25" s="5"/>
    </row>
    <row r="26" customFormat="false" ht="27.75" hidden="false" customHeight="true" outlineLevel="0" collapsed="false">
      <c r="B26" s="6" t="s">
        <v>17</v>
      </c>
      <c r="C26" s="6" t="s">
        <v>18</v>
      </c>
    </row>
    <row r="27" customFormat="false" ht="15" hidden="false" customHeight="true" outlineLevel="0" collapsed="false">
      <c r="B27" s="9" t="s">
        <v>38</v>
      </c>
      <c r="C27" s="10" t="n">
        <v>5000</v>
      </c>
    </row>
  </sheetData>
  <mergeCells count="6">
    <mergeCell ref="A1:F1"/>
    <mergeCell ref="B3:C3"/>
    <mergeCell ref="E6:F6"/>
    <mergeCell ref="B10:C10"/>
    <mergeCell ref="B17:C17"/>
    <mergeCell ref="B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4" min="3" style="1" width="13"/>
  </cols>
  <sheetData>
    <row r="1" customFormat="false" ht="21.75" hidden="false" customHeight="true" outlineLevel="0" collapsed="false">
      <c r="A1" s="2" t="s">
        <v>39</v>
      </c>
      <c r="B1" s="2"/>
      <c r="C1" s="2"/>
      <c r="D1" s="2"/>
      <c r="E1" s="2"/>
      <c r="F1" s="2"/>
      <c r="G1" s="2"/>
      <c r="H1" s="2"/>
      <c r="I1" s="2"/>
      <c r="J1" s="2"/>
      <c r="K1" s="2"/>
      <c r="L1" s="2"/>
      <c r="M1" s="2"/>
      <c r="N1" s="2"/>
    </row>
    <row r="2" customFormat="false" ht="27.75" hidden="false" customHeight="true" outlineLevel="0" collapsed="false">
      <c r="B2" s="14" t="s">
        <v>40</v>
      </c>
      <c r="C2" s="14"/>
      <c r="D2" s="14"/>
      <c r="E2" s="14"/>
      <c r="F2" s="14"/>
      <c r="G2" s="14"/>
      <c r="H2" s="14"/>
      <c r="I2" s="14"/>
      <c r="J2" s="14"/>
      <c r="K2" s="14"/>
      <c r="L2" s="14"/>
      <c r="M2" s="14"/>
      <c r="N2" s="14"/>
    </row>
    <row r="3" customFormat="false" ht="27.75" hidden="false" customHeight="true" outlineLevel="0" collapsed="false">
      <c r="B3" s="6" t="s">
        <v>41</v>
      </c>
      <c r="C3" s="6" t="s">
        <v>42</v>
      </c>
      <c r="D3" s="6" t="s">
        <v>43</v>
      </c>
      <c r="E3" s="6" t="s">
        <v>44</v>
      </c>
      <c r="F3" s="6" t="s">
        <v>45</v>
      </c>
      <c r="G3" s="6" t="s">
        <v>46</v>
      </c>
      <c r="H3" s="6" t="s">
        <v>47</v>
      </c>
      <c r="I3" s="6" t="s">
        <v>48</v>
      </c>
      <c r="J3" s="6" t="s">
        <v>49</v>
      </c>
      <c r="K3" s="6" t="s">
        <v>50</v>
      </c>
      <c r="L3" s="6" t="s">
        <v>51</v>
      </c>
      <c r="M3" s="6" t="s">
        <v>52</v>
      </c>
      <c r="N3" s="6" t="s">
        <v>53</v>
      </c>
    </row>
    <row r="4" customFormat="false" ht="15" hidden="false" customHeight="true" outlineLevel="0" collapsed="false">
      <c r="B4" s="9" t="s">
        <v>54</v>
      </c>
      <c r="C4" s="13" t="n">
        <f aca="false">ROUND(Assumptions!C19*4*Assumptions!C20*Assumptions!C21,0)</f>
        <v>2</v>
      </c>
      <c r="D4" s="13" t="n">
        <f aca="false">C4</f>
        <v>2</v>
      </c>
      <c r="E4" s="13" t="n">
        <f aca="false">D4</f>
        <v>2</v>
      </c>
      <c r="F4" s="13" t="n">
        <f aca="false">E4</f>
        <v>2</v>
      </c>
      <c r="G4" s="13" t="n">
        <f aca="false">F4</f>
        <v>2</v>
      </c>
      <c r="H4" s="13" t="n">
        <f aca="false">G4</f>
        <v>2</v>
      </c>
      <c r="I4" s="13" t="n">
        <f aca="false">H4</f>
        <v>2</v>
      </c>
      <c r="J4" s="13" t="n">
        <f aca="false">I4</f>
        <v>2</v>
      </c>
      <c r="K4" s="13" t="n">
        <f aca="false">J4</f>
        <v>2</v>
      </c>
      <c r="L4" s="13" t="n">
        <f aca="false">K4</f>
        <v>2</v>
      </c>
      <c r="M4" s="13" t="n">
        <f aca="false">L4</f>
        <v>2</v>
      </c>
      <c r="N4" s="13" t="n">
        <f aca="false">M4</f>
        <v>2</v>
      </c>
    </row>
    <row r="5" customFormat="false" ht="15" hidden="false" customHeight="true" outlineLevel="0" collapsed="false">
      <c r="B5" s="15" t="s">
        <v>55</v>
      </c>
      <c r="C5" s="16" t="n">
        <f aca="false">ROUND(C4*Assumptions!C22,0)</f>
        <v>2</v>
      </c>
      <c r="D5" s="16" t="n">
        <f aca="false">ROUND(C5*(1-Assumptions!C23)+D4*Assumptions!C22,0)</f>
        <v>4</v>
      </c>
      <c r="E5" s="16" t="n">
        <f aca="false">ROUND(D5*(1-Assumptions!C23)+E4*Assumptions!C22,0)</f>
        <v>6</v>
      </c>
      <c r="F5" s="16" t="n">
        <f aca="false">ROUND(E5*(1-Assumptions!C23)+F4*Assumptions!C22,0)</f>
        <v>7</v>
      </c>
      <c r="G5" s="16" t="n">
        <f aca="false">ROUND(F5*(1-Assumptions!C23)+G4*Assumptions!C22,0)</f>
        <v>8</v>
      </c>
      <c r="H5" s="16" t="n">
        <f aca="false">ROUND(G5*(1-Assumptions!C23)+H4*Assumptions!C22,0)</f>
        <v>9</v>
      </c>
      <c r="I5" s="16" t="n">
        <f aca="false">ROUND(H5*(1-Assumptions!C23)+I4*Assumptions!C22,0)</f>
        <v>10</v>
      </c>
      <c r="J5" s="16" t="n">
        <f aca="false">ROUND(I5*(1-Assumptions!C23)+J4*Assumptions!C22,0)</f>
        <v>11</v>
      </c>
      <c r="K5" s="16" t="n">
        <f aca="false">ROUND(J5*(1-Assumptions!C23)+K4*Assumptions!C22,0)</f>
        <v>12</v>
      </c>
      <c r="L5" s="16" t="n">
        <f aca="false">ROUND(K5*(1-Assumptions!C23)+L4*Assumptions!C22,0)</f>
        <v>13</v>
      </c>
      <c r="M5" s="16" t="n">
        <f aca="false">ROUND(L5*(1-Assumptions!C23)+M4*Assumptions!C22,0)</f>
        <v>14</v>
      </c>
      <c r="N5" s="16" t="n">
        <f aca="false">ROUND(M5*(1-Assumptions!C23)+N4*Assumptions!C22,0)</f>
        <v>15</v>
      </c>
    </row>
    <row r="6" customFormat="false" ht="15" hidden="false" customHeight="true" outlineLevel="0" collapsed="false">
      <c r="B6" s="15" t="s">
        <v>56</v>
      </c>
      <c r="C6" s="17" t="n">
        <f aca="false">C4*Assumptions!C5</f>
        <v>2400</v>
      </c>
      <c r="D6" s="17" t="n">
        <f aca="false">D4*Assumptions!C5</f>
        <v>2400</v>
      </c>
      <c r="E6" s="17" t="n">
        <f aca="false">E4*Assumptions!C5</f>
        <v>2400</v>
      </c>
      <c r="F6" s="17" t="n">
        <f aca="false">F4*Assumptions!C5</f>
        <v>2400</v>
      </c>
      <c r="G6" s="17" t="n">
        <f aca="false">G4*Assumptions!C5</f>
        <v>2400</v>
      </c>
      <c r="H6" s="17" t="n">
        <f aca="false">H4*Assumptions!C5</f>
        <v>2400</v>
      </c>
      <c r="I6" s="17" t="n">
        <f aca="false">I4*Assumptions!C5</f>
        <v>2400</v>
      </c>
      <c r="J6" s="17" t="n">
        <f aca="false">J4*Assumptions!C5</f>
        <v>2400</v>
      </c>
      <c r="K6" s="17" t="n">
        <f aca="false">K4*Assumptions!C5</f>
        <v>2400</v>
      </c>
      <c r="L6" s="17" t="n">
        <f aca="false">L4*Assumptions!C5</f>
        <v>2400</v>
      </c>
      <c r="M6" s="17" t="n">
        <f aca="false">M4*Assumptions!C5</f>
        <v>2400</v>
      </c>
      <c r="N6" s="17" t="n">
        <f aca="false">N4*Assumptions!C5</f>
        <v>2400</v>
      </c>
    </row>
    <row r="7" customFormat="false" ht="15" hidden="false" customHeight="true" outlineLevel="0" collapsed="false">
      <c r="B7" s="15" t="s">
        <v>57</v>
      </c>
      <c r="C7" s="17" t="n">
        <f aca="false">C5*Assumptions!C7</f>
        <v>198</v>
      </c>
      <c r="D7" s="17" t="n">
        <f aca="false">D5*Assumptions!C7</f>
        <v>396</v>
      </c>
      <c r="E7" s="17" t="n">
        <f aca="false">E5*Assumptions!C7</f>
        <v>594</v>
      </c>
      <c r="F7" s="17" t="n">
        <f aca="false">F5*Assumptions!C7</f>
        <v>693</v>
      </c>
      <c r="G7" s="17" t="n">
        <f aca="false">G5*Assumptions!C7</f>
        <v>792</v>
      </c>
      <c r="H7" s="17" t="n">
        <f aca="false">H5*Assumptions!C7</f>
        <v>891</v>
      </c>
      <c r="I7" s="17" t="n">
        <f aca="false">I5*Assumptions!C7</f>
        <v>990</v>
      </c>
      <c r="J7" s="17" t="n">
        <f aca="false">J5*Assumptions!C7</f>
        <v>1089</v>
      </c>
      <c r="K7" s="17" t="n">
        <f aca="false">K5*Assumptions!C7</f>
        <v>1188</v>
      </c>
      <c r="L7" s="17" t="n">
        <f aca="false">L5*Assumptions!C7</f>
        <v>1287</v>
      </c>
      <c r="M7" s="17" t="n">
        <f aca="false">M5*Assumptions!C7</f>
        <v>1386</v>
      </c>
      <c r="N7" s="17" t="n">
        <f aca="false">N5*Assumptions!C7</f>
        <v>1485</v>
      </c>
    </row>
    <row r="8" customFormat="false" ht="15" hidden="false" customHeight="true" outlineLevel="0" collapsed="false">
      <c r="B8" s="9" t="s">
        <v>58</v>
      </c>
      <c r="C8" s="18" t="n">
        <f aca="false">C6+C7</f>
        <v>2598</v>
      </c>
      <c r="D8" s="18" t="n">
        <f aca="false">D6+D7</f>
        <v>2796</v>
      </c>
      <c r="E8" s="18" t="n">
        <f aca="false">E6+E7</f>
        <v>2994</v>
      </c>
      <c r="F8" s="18" t="n">
        <f aca="false">F6+F7</f>
        <v>3093</v>
      </c>
      <c r="G8" s="18" t="n">
        <f aca="false">G6+G7</f>
        <v>3192</v>
      </c>
      <c r="H8" s="18" t="n">
        <f aca="false">H6+H7</f>
        <v>3291</v>
      </c>
      <c r="I8" s="18" t="n">
        <f aca="false">I6+I7</f>
        <v>3390</v>
      </c>
      <c r="J8" s="18" t="n">
        <f aca="false">J6+J7</f>
        <v>3489</v>
      </c>
      <c r="K8" s="18" t="n">
        <f aca="false">K6+K7</f>
        <v>3588</v>
      </c>
      <c r="L8" s="18" t="n">
        <f aca="false">L6+L7</f>
        <v>3687</v>
      </c>
      <c r="M8" s="18" t="n">
        <f aca="false">M6+M7</f>
        <v>3786</v>
      </c>
      <c r="N8" s="18" t="n">
        <f aca="false">N6+N7</f>
        <v>3885</v>
      </c>
    </row>
    <row r="9" customFormat="false" ht="15" hidden="false" customHeight="true" outlineLevel="0" collapsed="false">
      <c r="B9" s="15" t="s">
        <v>59</v>
      </c>
      <c r="C9" s="17" t="n">
        <f aca="false">C5*(Assumptions!C12+Assumptions!C13)</f>
        <v>8.5</v>
      </c>
      <c r="D9" s="17" t="n">
        <f aca="false">D5*(Assumptions!C12+Assumptions!C13)</f>
        <v>17</v>
      </c>
      <c r="E9" s="17" t="n">
        <f aca="false">E5*(Assumptions!C12+Assumptions!C13)</f>
        <v>25.5</v>
      </c>
      <c r="F9" s="17" t="n">
        <f aca="false">F5*(Assumptions!C12+Assumptions!C13)</f>
        <v>29.75</v>
      </c>
      <c r="G9" s="17" t="n">
        <f aca="false">G5*(Assumptions!C12+Assumptions!C13)</f>
        <v>34</v>
      </c>
      <c r="H9" s="17" t="n">
        <f aca="false">H5*(Assumptions!C12+Assumptions!C13)</f>
        <v>38.25</v>
      </c>
      <c r="I9" s="17" t="n">
        <f aca="false">I5*(Assumptions!C12+Assumptions!C13)</f>
        <v>42.5</v>
      </c>
      <c r="J9" s="17" t="n">
        <f aca="false">J5*(Assumptions!C12+Assumptions!C13)</f>
        <v>46.75</v>
      </c>
      <c r="K9" s="17" t="n">
        <f aca="false">K5*(Assumptions!C12+Assumptions!C13)</f>
        <v>51</v>
      </c>
      <c r="L9" s="17" t="n">
        <f aca="false">L5*(Assumptions!C12+Assumptions!C13)</f>
        <v>55.25</v>
      </c>
      <c r="M9" s="17" t="n">
        <f aca="false">M5*(Assumptions!C12+Assumptions!C13)</f>
        <v>59.5</v>
      </c>
      <c r="N9" s="17" t="n">
        <f aca="false">N5*(Assumptions!C12+Assumptions!C13)</f>
        <v>63.75</v>
      </c>
    </row>
    <row r="10" customFormat="false" ht="15" hidden="false" customHeight="true" outlineLevel="0" collapsed="false">
      <c r="B10" s="15" t="s">
        <v>60</v>
      </c>
      <c r="C10" s="17" t="n">
        <f aca="false">C8*Assumptions!C15</f>
        <v>77.94</v>
      </c>
      <c r="D10" s="17" t="n">
        <f aca="false">D8*Assumptions!C15</f>
        <v>83.88</v>
      </c>
      <c r="E10" s="17" t="n">
        <f aca="false">E8*Assumptions!C15</f>
        <v>89.82</v>
      </c>
      <c r="F10" s="17" t="n">
        <f aca="false">F8*Assumptions!C15</f>
        <v>92.79</v>
      </c>
      <c r="G10" s="17" t="n">
        <f aca="false">G8*Assumptions!C15</f>
        <v>95.76</v>
      </c>
      <c r="H10" s="17" t="n">
        <f aca="false">H8*Assumptions!C15</f>
        <v>98.73</v>
      </c>
      <c r="I10" s="17" t="n">
        <f aca="false">I8*Assumptions!C15</f>
        <v>101.7</v>
      </c>
      <c r="J10" s="17" t="n">
        <f aca="false">J8*Assumptions!C15</f>
        <v>104.67</v>
      </c>
      <c r="K10" s="17" t="n">
        <f aca="false">K8*Assumptions!C15</f>
        <v>107.64</v>
      </c>
      <c r="L10" s="17" t="n">
        <f aca="false">L8*Assumptions!C15</f>
        <v>110.61</v>
      </c>
      <c r="M10" s="17" t="n">
        <f aca="false">M8*Assumptions!C15</f>
        <v>113.58</v>
      </c>
      <c r="N10" s="17" t="n">
        <f aca="false">N8*Assumptions!C15</f>
        <v>116.55</v>
      </c>
    </row>
    <row r="11" customFormat="false" ht="15" hidden="false" customHeight="true" outlineLevel="0" collapsed="false">
      <c r="B11" s="15" t="s">
        <v>61</v>
      </c>
      <c r="C11" s="17" t="n">
        <f aca="false">Assumptions!C14</f>
        <v>20</v>
      </c>
      <c r="D11" s="17" t="n">
        <f aca="false">Assumptions!C14</f>
        <v>20</v>
      </c>
      <c r="E11" s="17" t="n">
        <f aca="false">Assumptions!C14</f>
        <v>20</v>
      </c>
      <c r="F11" s="17" t="n">
        <f aca="false">Assumptions!C14</f>
        <v>20</v>
      </c>
      <c r="G11" s="17" t="n">
        <f aca="false">Assumptions!C14</f>
        <v>20</v>
      </c>
      <c r="H11" s="17" t="n">
        <f aca="false">Assumptions!C14</f>
        <v>20</v>
      </c>
      <c r="I11" s="17" t="n">
        <f aca="false">Assumptions!C14</f>
        <v>20</v>
      </c>
      <c r="J11" s="17" t="n">
        <f aca="false">Assumptions!C14</f>
        <v>20</v>
      </c>
      <c r="K11" s="17" t="n">
        <f aca="false">Assumptions!C14</f>
        <v>20</v>
      </c>
      <c r="L11" s="17" t="n">
        <f aca="false">Assumptions!C14</f>
        <v>20</v>
      </c>
      <c r="M11" s="17" t="n">
        <f aca="false">Assumptions!C14</f>
        <v>20</v>
      </c>
      <c r="N11" s="17" t="n">
        <f aca="false">Assumptions!C14</f>
        <v>20</v>
      </c>
    </row>
    <row r="12" customFormat="false" ht="15" hidden="false" customHeight="true" outlineLevel="0" collapsed="false">
      <c r="B12" s="9" t="s">
        <v>62</v>
      </c>
      <c r="C12" s="18" t="n">
        <f aca="false">C9+C10+C11</f>
        <v>106.44</v>
      </c>
      <c r="D12" s="18" t="n">
        <f aca="false">D9+D10+D11</f>
        <v>120.88</v>
      </c>
      <c r="E12" s="18" t="n">
        <f aca="false">E9+E10+E11</f>
        <v>135.32</v>
      </c>
      <c r="F12" s="18" t="n">
        <f aca="false">F9+F10+F11</f>
        <v>142.54</v>
      </c>
      <c r="G12" s="18" t="n">
        <f aca="false">G9+G10+G11</f>
        <v>149.76</v>
      </c>
      <c r="H12" s="18" t="n">
        <f aca="false">H9+H10+H11</f>
        <v>156.98</v>
      </c>
      <c r="I12" s="18" t="n">
        <f aca="false">I9+I10+I11</f>
        <v>164.2</v>
      </c>
      <c r="J12" s="18" t="n">
        <f aca="false">J9+J10+J11</f>
        <v>171.42</v>
      </c>
      <c r="K12" s="18" t="n">
        <f aca="false">K9+K10+K11</f>
        <v>178.64</v>
      </c>
      <c r="L12" s="18" t="n">
        <f aca="false">L9+L10+L11</f>
        <v>185.86</v>
      </c>
      <c r="M12" s="18" t="n">
        <f aca="false">M9+M10+M11</f>
        <v>193.08</v>
      </c>
      <c r="N12" s="18" t="n">
        <f aca="false">N9+N10+N11</f>
        <v>200.3</v>
      </c>
    </row>
    <row r="13" customFormat="false" ht="15" hidden="false" customHeight="true" outlineLevel="0" collapsed="false">
      <c r="B13" s="9" t="s">
        <v>63</v>
      </c>
      <c r="C13" s="19" t="n">
        <f aca="false">C8-C12</f>
        <v>2491.56</v>
      </c>
      <c r="D13" s="19" t="n">
        <f aca="false">D8-D12</f>
        <v>2675.12</v>
      </c>
      <c r="E13" s="19" t="n">
        <f aca="false">E8-E12</f>
        <v>2858.68</v>
      </c>
      <c r="F13" s="19" t="n">
        <f aca="false">F8-F12</f>
        <v>2950.46</v>
      </c>
      <c r="G13" s="19" t="n">
        <f aca="false">G8-G12</f>
        <v>3042.24</v>
      </c>
      <c r="H13" s="19" t="n">
        <f aca="false">H8-H12</f>
        <v>3134.02</v>
      </c>
      <c r="I13" s="19" t="n">
        <f aca="false">I8-I12</f>
        <v>3225.8</v>
      </c>
      <c r="J13" s="19" t="n">
        <f aca="false">J8-J12</f>
        <v>3317.58</v>
      </c>
      <c r="K13" s="19" t="n">
        <f aca="false">K8-K12</f>
        <v>3409.36</v>
      </c>
      <c r="L13" s="19" t="n">
        <f aca="false">L8-L12</f>
        <v>3501.14</v>
      </c>
      <c r="M13" s="19" t="n">
        <f aca="false">M8-M12</f>
        <v>3592.92</v>
      </c>
      <c r="N13" s="19" t="n">
        <f aca="false">N8-N12</f>
        <v>3684.7</v>
      </c>
    </row>
    <row r="14" customFormat="false" ht="15" hidden="false" customHeight="true" outlineLevel="0" collapsed="false">
      <c r="B14" s="15" t="s">
        <v>64</v>
      </c>
      <c r="C14" s="17" t="n">
        <f aca="false">Assumptions!C27-C13</f>
        <v>2508.44</v>
      </c>
      <c r="D14" s="17" t="n">
        <f aca="false">Assumptions!C27-D13</f>
        <v>2324.88</v>
      </c>
      <c r="E14" s="17" t="n">
        <f aca="false">Assumptions!C27-E13</f>
        <v>2141.32</v>
      </c>
      <c r="F14" s="17" t="n">
        <f aca="false">Assumptions!C27-F13</f>
        <v>2049.54</v>
      </c>
      <c r="G14" s="17" t="n">
        <f aca="false">Assumptions!C27-G13</f>
        <v>1957.76</v>
      </c>
      <c r="H14" s="17" t="n">
        <f aca="false">Assumptions!C27-H13</f>
        <v>1865.98</v>
      </c>
      <c r="I14" s="17" t="n">
        <f aca="false">Assumptions!C27-I13</f>
        <v>1774.2</v>
      </c>
      <c r="J14" s="17" t="n">
        <f aca="false">Assumptions!C27-J13</f>
        <v>1682.42</v>
      </c>
      <c r="K14" s="17" t="n">
        <f aca="false">Assumptions!C27-K13</f>
        <v>1590.64</v>
      </c>
      <c r="L14" s="17" t="n">
        <f aca="false">Assumptions!C27-L13</f>
        <v>1498.86</v>
      </c>
      <c r="M14" s="17" t="n">
        <f aca="false">Assumptions!C27-M13</f>
        <v>1407.08</v>
      </c>
      <c r="N14" s="17" t="n">
        <f aca="false">Assumptions!C27-N13</f>
        <v>1315.3</v>
      </c>
    </row>
  </sheetData>
  <mergeCells count="2">
    <mergeCell ref="A1:N1"/>
    <mergeCell ref="B2:N2"/>
  </mergeCells>
  <conditionalFormatting sqref="C13:N13">
    <cfRule type="cellIs" priority="2" operator="greaterThanOrEqual" aboveAverage="0" equalAverage="0" bottom="0" percent="0" rank="0" text="" dxfId="0">
      <formula>0</formula>
    </cfRule>
  </conditionalFormatting>
  <conditionalFormatting sqref="C14:N14">
    <cfRule type="cellIs" priority="3" operator="greater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5" min="3" style="1" width="16"/>
    <col collapsed="false" customWidth="true" hidden="false" outlineLevel="0" max="6" min="6" style="1" width="4"/>
    <col collapsed="false" customWidth="true" hidden="false" outlineLevel="0" max="7" min="7" style="1" width="50"/>
  </cols>
  <sheetData>
    <row r="1" customFormat="false" ht="21.75" hidden="false" customHeight="true" outlineLevel="0" collapsed="false">
      <c r="A1" s="2" t="s">
        <v>65</v>
      </c>
      <c r="B1" s="2"/>
      <c r="C1" s="2"/>
      <c r="D1" s="2"/>
      <c r="E1" s="2"/>
    </row>
    <row r="2" customFormat="false" ht="6" hidden="false" customHeight="true" outlineLevel="0" collapsed="false"/>
    <row r="3" customFormat="false" ht="19.5" hidden="false" customHeight="true" outlineLevel="0" collapsed="false">
      <c r="B3" s="5" t="s">
        <v>66</v>
      </c>
      <c r="C3" s="5"/>
      <c r="D3" s="5"/>
      <c r="E3" s="5"/>
      <c r="G3" s="12" t="s">
        <v>67</v>
      </c>
    </row>
    <row r="4" customFormat="false" ht="27.75" hidden="false" customHeight="true" outlineLevel="0" collapsed="false">
      <c r="B4" s="6" t="s">
        <v>41</v>
      </c>
      <c r="C4" s="6" t="s">
        <v>18</v>
      </c>
      <c r="D4" s="6"/>
      <c r="E4" s="6"/>
      <c r="G4" s="12"/>
    </row>
    <row r="5" customFormat="false" ht="15" hidden="false" customHeight="true" outlineLevel="0" collapsed="false">
      <c r="B5" s="9" t="s">
        <v>68</v>
      </c>
      <c r="C5" s="17" t="n">
        <f aca="false">Assumptions!C5</f>
        <v>1200</v>
      </c>
      <c r="G5" s="12"/>
    </row>
    <row r="6" customFormat="false" ht="15" hidden="false" customHeight="true" outlineLevel="0" collapsed="false">
      <c r="B6" s="9" t="s">
        <v>69</v>
      </c>
      <c r="C6" s="20" t="n">
        <f aca="false">ROUNDUP(Assumptions!C27/C5,0)</f>
        <v>5</v>
      </c>
      <c r="G6" s="12"/>
    </row>
    <row r="7" customFormat="false" ht="30" hidden="false" customHeight="true" outlineLevel="0" collapsed="false">
      <c r="B7" s="21" t="s">
        <v>70</v>
      </c>
      <c r="C7" s="21"/>
      <c r="D7" s="21"/>
      <c r="E7" s="21"/>
      <c r="G7" s="12"/>
    </row>
    <row r="8" customFormat="false" ht="15" hidden="false" customHeight="true" outlineLevel="0" collapsed="false">
      <c r="G8" s="12"/>
    </row>
    <row r="9" customFormat="false" ht="19.5" hidden="false" customHeight="true" outlineLevel="0" collapsed="false">
      <c r="B9" s="5" t="s">
        <v>71</v>
      </c>
      <c r="C9" s="5"/>
      <c r="D9" s="5"/>
      <c r="E9" s="5"/>
      <c r="G9" s="12"/>
    </row>
    <row r="10" customFormat="false" ht="27.75" hidden="false" customHeight="true" outlineLevel="0" collapsed="false">
      <c r="B10" s="6" t="s">
        <v>41</v>
      </c>
      <c r="C10" s="6" t="s">
        <v>18</v>
      </c>
      <c r="D10" s="6"/>
      <c r="E10" s="6"/>
      <c r="G10" s="12"/>
    </row>
    <row r="11" customFormat="false" ht="15" hidden="false" customHeight="true" outlineLevel="0" collapsed="false">
      <c r="B11" s="9" t="s">
        <v>72</v>
      </c>
      <c r="C11" s="13" t="n">
        <v>25</v>
      </c>
    </row>
    <row r="12" customFormat="false" ht="15" hidden="false" customHeight="true" outlineLevel="0" collapsed="false">
      <c r="B12" s="9" t="s">
        <v>73</v>
      </c>
      <c r="C12" s="17" t="n">
        <f aca="false">Assumptions!C7</f>
        <v>99</v>
      </c>
    </row>
    <row r="13" customFormat="false" ht="15" hidden="false" customHeight="true" outlineLevel="0" collapsed="false">
      <c r="B13" s="9" t="s">
        <v>74</v>
      </c>
      <c r="C13" s="18" t="n">
        <f aca="false">C11*C12</f>
        <v>2475</v>
      </c>
    </row>
    <row r="14" customFormat="false" ht="15" hidden="false" customHeight="true" outlineLevel="0" collapsed="false">
      <c r="B14" s="9" t="s">
        <v>75</v>
      </c>
      <c r="C14" s="17" t="n">
        <f aca="false">MAX(Assumptions!C27-C13,0)</f>
        <v>2525</v>
      </c>
    </row>
    <row r="15" customFormat="false" ht="15" hidden="false" customHeight="true" outlineLevel="0" collapsed="false">
      <c r="B15" s="9" t="s">
        <v>76</v>
      </c>
      <c r="C15" s="20" t="n">
        <f aca="false">ROUNDUP(C14/Assumptions!C5,0)</f>
        <v>3</v>
      </c>
    </row>
    <row r="16" customFormat="false" ht="30" hidden="false" customHeight="true" outlineLevel="0" collapsed="false">
      <c r="B16" s="21" t="s">
        <v>77</v>
      </c>
      <c r="C16" s="21"/>
      <c r="D16" s="21"/>
      <c r="E16" s="21"/>
    </row>
    <row r="18" customFormat="false" ht="19.5" hidden="false" customHeight="true" outlineLevel="0" collapsed="false">
      <c r="B18" s="5" t="s">
        <v>78</v>
      </c>
      <c r="C18" s="5"/>
      <c r="D18" s="5"/>
      <c r="E18" s="5"/>
    </row>
    <row r="19" customFormat="false" ht="27.75" hidden="false" customHeight="true" outlineLevel="0" collapsed="false">
      <c r="B19" s="6" t="s">
        <v>41</v>
      </c>
      <c r="C19" s="6" t="s">
        <v>18</v>
      </c>
      <c r="D19" s="6"/>
      <c r="E19" s="6"/>
    </row>
    <row r="20" customFormat="false" ht="15" hidden="false" customHeight="true" outlineLevel="0" collapsed="false">
      <c r="B20" s="9" t="s">
        <v>79</v>
      </c>
      <c r="C20" s="16" t="n">
        <f aca="false">ROUND(Assumptions!C19*4*Assumptions!C20*Assumptions!C21,1)</f>
        <v>2.4</v>
      </c>
    </row>
    <row r="21" customFormat="false" ht="15" hidden="false" customHeight="true" outlineLevel="0" collapsed="false">
      <c r="B21" s="9" t="s">
        <v>80</v>
      </c>
      <c r="C21" s="22" t="n">
        <f aca="false">Assumptions!C22</f>
        <v>0.85</v>
      </c>
    </row>
    <row r="22" customFormat="false" ht="15" hidden="false" customHeight="true" outlineLevel="0" collapsed="false">
      <c r="B22" s="9" t="s">
        <v>81</v>
      </c>
      <c r="C22" s="16" t="n">
        <f aca="false">C20*C21</f>
        <v>2.04</v>
      </c>
    </row>
    <row r="23" customFormat="false" ht="15" hidden="false" customHeight="true" outlineLevel="0" collapsed="false">
      <c r="B23" s="9" t="s">
        <v>82</v>
      </c>
      <c r="C23" s="20" t="n">
        <f aca="false">ROUNDUP(C11/C22,0)</f>
        <v>13</v>
      </c>
    </row>
    <row r="24" customFormat="false" ht="15" hidden="false" customHeight="true" outlineLevel="0" collapsed="false">
      <c r="B24" s="23" t="s">
        <v>83</v>
      </c>
      <c r="C24" s="23"/>
      <c r="D24" s="23"/>
      <c r="E24" s="23"/>
    </row>
  </sheetData>
  <mergeCells count="8">
    <mergeCell ref="A1:E1"/>
    <mergeCell ref="B3:E3"/>
    <mergeCell ref="G3:G10"/>
    <mergeCell ref="B7:E7"/>
    <mergeCell ref="B9:E9"/>
    <mergeCell ref="B16:E16"/>
    <mergeCell ref="B18:E18"/>
    <mergeCell ref="B24: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16"/>
    <col collapsed="false" customWidth="true" hidden="false" outlineLevel="0" max="4" min="4" style="1" width="12"/>
    <col collapsed="false" customWidth="true" hidden="false" outlineLevel="0" max="5" min="5" style="1" width="10"/>
    <col collapsed="false" customWidth="true" hidden="false" outlineLevel="0" max="6" min="6" style="1" width="18"/>
    <col collapsed="false" customWidth="true" hidden="false" outlineLevel="0" max="7" min="7" style="1" width="14"/>
    <col collapsed="false" customWidth="true" hidden="false" outlineLevel="0" max="9" min="8" style="1" width="16"/>
    <col collapsed="false" customWidth="true" hidden="false" outlineLevel="0" max="10" min="10" style="1" width="30"/>
  </cols>
  <sheetData>
    <row r="1" customFormat="false" ht="21.75" hidden="false" customHeight="true" outlineLevel="0" collapsed="false">
      <c r="A1" s="2" t="s">
        <v>84</v>
      </c>
      <c r="B1" s="2"/>
      <c r="C1" s="2"/>
      <c r="D1" s="2"/>
      <c r="E1" s="2"/>
      <c r="F1" s="2"/>
      <c r="G1" s="2"/>
      <c r="H1" s="2"/>
      <c r="I1" s="2"/>
      <c r="J1" s="2"/>
    </row>
    <row r="2" customFormat="false" ht="6" hidden="false" customHeight="true" outlineLevel="0" collapsed="false">
      <c r="B2" s="23" t="s">
        <v>85</v>
      </c>
      <c r="C2" s="23"/>
      <c r="D2" s="23"/>
      <c r="E2" s="23"/>
      <c r="F2" s="23"/>
      <c r="G2" s="23"/>
      <c r="H2" s="23"/>
      <c r="I2" s="23"/>
      <c r="J2" s="23"/>
    </row>
    <row r="3" customFormat="false" ht="27.75" hidden="false" customHeight="true" outlineLevel="0" collapsed="false">
      <c r="B3" s="6" t="s">
        <v>86</v>
      </c>
      <c r="C3" s="6" t="s">
        <v>87</v>
      </c>
      <c r="D3" s="6" t="s">
        <v>88</v>
      </c>
      <c r="E3" s="6" t="s">
        <v>89</v>
      </c>
      <c r="F3" s="6" t="s">
        <v>90</v>
      </c>
      <c r="G3" s="6" t="s">
        <v>91</v>
      </c>
      <c r="H3" s="6" t="s">
        <v>92</v>
      </c>
      <c r="I3" s="6" t="s">
        <v>93</v>
      </c>
      <c r="J3" s="6" t="s">
        <v>94</v>
      </c>
      <c r="K3" s="6" t="s">
        <v>95</v>
      </c>
    </row>
    <row r="4" customFormat="false" ht="15" hidden="false" customHeight="true" outlineLevel="0" collapsed="false">
      <c r="B4" s="24"/>
      <c r="C4" s="24"/>
      <c r="D4" s="25"/>
      <c r="E4" s="26"/>
      <c r="F4" s="24"/>
      <c r="G4" s="24"/>
      <c r="H4" s="24"/>
      <c r="I4" s="24"/>
      <c r="J4" s="27"/>
    </row>
    <row r="5" customFormat="false" ht="15" hidden="false" customHeight="true" outlineLevel="0" collapsed="false">
      <c r="B5" s="28"/>
      <c r="C5" s="28"/>
      <c r="D5" s="16"/>
      <c r="E5" s="29"/>
      <c r="F5" s="28"/>
      <c r="G5" s="28"/>
      <c r="H5" s="28"/>
      <c r="I5" s="28"/>
      <c r="J5" s="30"/>
    </row>
    <row r="6" customFormat="false" ht="15" hidden="false" customHeight="true" outlineLevel="0" collapsed="false">
      <c r="B6" s="24"/>
      <c r="C6" s="24"/>
      <c r="D6" s="25"/>
      <c r="E6" s="26"/>
      <c r="F6" s="24"/>
      <c r="G6" s="24"/>
      <c r="H6" s="24"/>
      <c r="I6" s="24"/>
      <c r="J6" s="27"/>
    </row>
    <row r="7" customFormat="false" ht="15" hidden="false" customHeight="true" outlineLevel="0" collapsed="false">
      <c r="B7" s="28"/>
      <c r="C7" s="28"/>
      <c r="D7" s="16"/>
      <c r="E7" s="29"/>
      <c r="F7" s="28"/>
      <c r="G7" s="28"/>
      <c r="H7" s="28"/>
      <c r="I7" s="28"/>
      <c r="J7" s="30"/>
    </row>
    <row r="8" customFormat="false" ht="15" hidden="false" customHeight="true" outlineLevel="0" collapsed="false">
      <c r="B8" s="24"/>
      <c r="C8" s="24"/>
      <c r="D8" s="25"/>
      <c r="E8" s="26"/>
      <c r="F8" s="24"/>
      <c r="G8" s="24"/>
      <c r="H8" s="24"/>
      <c r="I8" s="24"/>
      <c r="J8" s="27"/>
    </row>
    <row r="9" customFormat="false" ht="15" hidden="false" customHeight="true" outlineLevel="0" collapsed="false">
      <c r="B9" s="28"/>
      <c r="C9" s="28"/>
      <c r="D9" s="16"/>
      <c r="E9" s="29"/>
      <c r="F9" s="28"/>
      <c r="G9" s="28"/>
      <c r="H9" s="28"/>
      <c r="I9" s="28"/>
      <c r="J9" s="30"/>
    </row>
    <row r="10" customFormat="false" ht="15" hidden="false" customHeight="true" outlineLevel="0" collapsed="false">
      <c r="B10" s="24"/>
      <c r="C10" s="24"/>
      <c r="D10" s="25"/>
      <c r="E10" s="26"/>
      <c r="F10" s="24"/>
      <c r="G10" s="24"/>
      <c r="H10" s="24"/>
      <c r="I10" s="24"/>
      <c r="J10" s="27"/>
    </row>
    <row r="11" customFormat="false" ht="15" hidden="false" customHeight="true" outlineLevel="0" collapsed="false">
      <c r="B11" s="28"/>
      <c r="C11" s="28"/>
      <c r="D11" s="16"/>
      <c r="E11" s="29"/>
      <c r="F11" s="28"/>
      <c r="G11" s="28"/>
      <c r="H11" s="28"/>
      <c r="I11" s="28"/>
      <c r="J11" s="30"/>
    </row>
    <row r="12" customFormat="false" ht="15" hidden="false" customHeight="true" outlineLevel="0" collapsed="false">
      <c r="B12" s="24"/>
      <c r="C12" s="24"/>
      <c r="D12" s="25"/>
      <c r="E12" s="26"/>
      <c r="F12" s="24"/>
      <c r="G12" s="24"/>
      <c r="H12" s="24"/>
      <c r="I12" s="24"/>
      <c r="J12" s="27"/>
    </row>
    <row r="13" customFormat="false" ht="15" hidden="false" customHeight="true" outlineLevel="0" collapsed="false">
      <c r="B13" s="28"/>
      <c r="C13" s="28"/>
      <c r="D13" s="16"/>
      <c r="E13" s="29"/>
      <c r="F13" s="28"/>
      <c r="G13" s="28"/>
      <c r="H13" s="28"/>
      <c r="I13" s="28"/>
      <c r="J13" s="30"/>
    </row>
    <row r="14" customFormat="false" ht="15" hidden="false" customHeight="true" outlineLevel="0" collapsed="false">
      <c r="B14" s="24"/>
      <c r="C14" s="24"/>
      <c r="D14" s="25"/>
      <c r="E14" s="26"/>
      <c r="F14" s="24"/>
      <c r="G14" s="24"/>
      <c r="H14" s="24"/>
      <c r="I14" s="24"/>
      <c r="J14" s="27"/>
    </row>
    <row r="15" customFormat="false" ht="15" hidden="false" customHeight="true" outlineLevel="0" collapsed="false">
      <c r="B15" s="28"/>
      <c r="C15" s="28"/>
      <c r="D15" s="16"/>
      <c r="E15" s="29"/>
      <c r="F15" s="28"/>
      <c r="G15" s="28"/>
      <c r="H15" s="28"/>
      <c r="I15" s="28"/>
      <c r="J15" s="30"/>
    </row>
    <row r="16" customFormat="false" ht="15" hidden="false" customHeight="true" outlineLevel="0" collapsed="false">
      <c r="B16" s="24"/>
      <c r="C16" s="24"/>
      <c r="D16" s="25"/>
      <c r="E16" s="26"/>
      <c r="F16" s="24"/>
      <c r="G16" s="24"/>
      <c r="H16" s="24"/>
      <c r="I16" s="24"/>
      <c r="J16" s="27"/>
    </row>
    <row r="17" customFormat="false" ht="15" hidden="false" customHeight="true" outlineLevel="0" collapsed="false">
      <c r="B17" s="28"/>
      <c r="C17" s="28"/>
      <c r="D17" s="16"/>
      <c r="E17" s="29"/>
      <c r="F17" s="28"/>
      <c r="G17" s="28"/>
      <c r="H17" s="28"/>
      <c r="I17" s="28"/>
      <c r="J17" s="30"/>
    </row>
    <row r="18" customFormat="false" ht="15" hidden="false" customHeight="true" outlineLevel="0" collapsed="false">
      <c r="B18" s="24"/>
      <c r="C18" s="24"/>
      <c r="D18" s="25"/>
      <c r="E18" s="26"/>
      <c r="F18" s="24"/>
      <c r="G18" s="24"/>
      <c r="H18" s="24"/>
      <c r="I18" s="24"/>
      <c r="J18" s="27"/>
    </row>
    <row r="19" customFormat="false" ht="15" hidden="false" customHeight="true" outlineLevel="0" collapsed="false">
      <c r="B19" s="28"/>
      <c r="C19" s="28"/>
      <c r="D19" s="16"/>
      <c r="E19" s="29"/>
      <c r="F19" s="28"/>
      <c r="G19" s="28"/>
      <c r="H19" s="28"/>
      <c r="I19" s="28"/>
      <c r="J19" s="30"/>
    </row>
    <row r="20" customFormat="false" ht="15" hidden="false" customHeight="true" outlineLevel="0" collapsed="false">
      <c r="B20" s="24"/>
      <c r="C20" s="24"/>
      <c r="D20" s="25"/>
      <c r="E20" s="26"/>
      <c r="F20" s="24"/>
      <c r="G20" s="24"/>
      <c r="H20" s="24"/>
      <c r="I20" s="24"/>
      <c r="J20" s="27"/>
    </row>
    <row r="21" customFormat="false" ht="15" hidden="false" customHeight="true" outlineLevel="0" collapsed="false">
      <c r="B21" s="28"/>
      <c r="C21" s="28"/>
      <c r="D21" s="16"/>
      <c r="E21" s="29"/>
      <c r="F21" s="28"/>
      <c r="G21" s="28"/>
      <c r="H21" s="28"/>
      <c r="I21" s="28"/>
      <c r="J21" s="30"/>
    </row>
    <row r="22" customFormat="false" ht="15" hidden="false" customHeight="true" outlineLevel="0" collapsed="false">
      <c r="B22" s="24"/>
      <c r="C22" s="24"/>
      <c r="D22" s="25"/>
      <c r="E22" s="26"/>
      <c r="F22" s="24"/>
      <c r="G22" s="24"/>
      <c r="H22" s="24"/>
      <c r="I22" s="24"/>
      <c r="J22" s="27"/>
    </row>
    <row r="23" customFormat="false" ht="15" hidden="false" customHeight="true" outlineLevel="0" collapsed="false">
      <c r="B23" s="28"/>
      <c r="C23" s="28"/>
      <c r="D23" s="16"/>
      <c r="E23" s="29"/>
      <c r="F23" s="28"/>
      <c r="G23" s="28"/>
      <c r="H23" s="28"/>
      <c r="I23" s="28"/>
      <c r="J23" s="30"/>
    </row>
    <row r="24" customFormat="false" ht="15" hidden="false" customHeight="true" outlineLevel="0" collapsed="false">
      <c r="B24" s="24"/>
      <c r="C24" s="24"/>
      <c r="D24" s="25"/>
      <c r="E24" s="26"/>
      <c r="F24" s="24"/>
      <c r="G24" s="24"/>
      <c r="H24" s="24"/>
      <c r="I24" s="24"/>
      <c r="J24" s="27"/>
    </row>
    <row r="25" customFormat="false" ht="15" hidden="false" customHeight="true" outlineLevel="0" collapsed="false">
      <c r="B25" s="28"/>
      <c r="C25" s="28"/>
      <c r="D25" s="16"/>
      <c r="E25" s="29"/>
      <c r="F25" s="28"/>
      <c r="G25" s="28"/>
      <c r="H25" s="28"/>
      <c r="I25" s="28"/>
      <c r="J25" s="30"/>
    </row>
    <row r="26" customFormat="false" ht="15" hidden="false" customHeight="true" outlineLevel="0" collapsed="false">
      <c r="B26" s="24"/>
      <c r="C26" s="24"/>
      <c r="D26" s="25"/>
      <c r="E26" s="26"/>
      <c r="F26" s="24"/>
      <c r="G26" s="24"/>
      <c r="H26" s="24"/>
      <c r="I26" s="24"/>
      <c r="J26" s="27"/>
    </row>
    <row r="27" customFormat="false" ht="15" hidden="false" customHeight="true" outlineLevel="0" collapsed="false">
      <c r="B27" s="28"/>
      <c r="C27" s="28"/>
      <c r="D27" s="16"/>
      <c r="E27" s="29"/>
      <c r="F27" s="28"/>
      <c r="G27" s="28"/>
      <c r="H27" s="28"/>
      <c r="I27" s="28"/>
      <c r="J27" s="30"/>
    </row>
    <row r="28" customFormat="false" ht="15" hidden="false" customHeight="true" outlineLevel="0" collapsed="false">
      <c r="B28" s="24"/>
      <c r="C28" s="24"/>
      <c r="D28" s="25"/>
      <c r="E28" s="26"/>
      <c r="F28" s="24"/>
      <c r="G28" s="24"/>
      <c r="H28" s="24"/>
      <c r="I28" s="24"/>
      <c r="J28" s="27"/>
    </row>
    <row r="29" customFormat="false" ht="15" hidden="false" customHeight="true" outlineLevel="0" collapsed="false">
      <c r="B29" s="28"/>
      <c r="C29" s="28"/>
      <c r="D29" s="16"/>
      <c r="E29" s="29"/>
      <c r="F29" s="28"/>
      <c r="G29" s="28"/>
      <c r="H29" s="28"/>
      <c r="I29" s="28"/>
      <c r="J29" s="30"/>
    </row>
    <row r="30" customFormat="false" ht="15" hidden="false" customHeight="true" outlineLevel="0" collapsed="false">
      <c r="B30" s="24"/>
      <c r="C30" s="24"/>
      <c r="D30" s="25"/>
      <c r="E30" s="26"/>
      <c r="F30" s="24"/>
      <c r="G30" s="24"/>
      <c r="H30" s="24"/>
      <c r="I30" s="24"/>
      <c r="J30" s="27"/>
    </row>
    <row r="31" customFormat="false" ht="15" hidden="false" customHeight="true" outlineLevel="0" collapsed="false">
      <c r="B31" s="28"/>
      <c r="C31" s="28"/>
      <c r="D31" s="16"/>
      <c r="E31" s="29"/>
      <c r="F31" s="28"/>
      <c r="G31" s="28"/>
      <c r="H31" s="28"/>
      <c r="I31" s="28"/>
      <c r="J31" s="30"/>
    </row>
    <row r="32" customFormat="false" ht="15" hidden="false" customHeight="true" outlineLevel="0" collapsed="false">
      <c r="B32" s="24"/>
      <c r="C32" s="24"/>
      <c r="D32" s="25"/>
      <c r="E32" s="26"/>
      <c r="F32" s="24"/>
      <c r="G32" s="24"/>
      <c r="H32" s="24"/>
      <c r="I32" s="24"/>
      <c r="J32" s="27"/>
    </row>
    <row r="33" customFormat="false" ht="15" hidden="false" customHeight="true" outlineLevel="0" collapsed="false">
      <c r="B33" s="28"/>
      <c r="C33" s="28"/>
      <c r="D33" s="16"/>
      <c r="E33" s="29"/>
      <c r="F33" s="28"/>
      <c r="G33" s="28"/>
      <c r="H33" s="28"/>
      <c r="I33" s="28"/>
      <c r="J33" s="30"/>
    </row>
    <row r="34" customFormat="false" ht="15" hidden="false" customHeight="true" outlineLevel="0" collapsed="false">
      <c r="B34" s="24"/>
      <c r="C34" s="24"/>
      <c r="D34" s="25"/>
      <c r="E34" s="26"/>
      <c r="F34" s="24"/>
      <c r="G34" s="24"/>
      <c r="H34" s="24"/>
      <c r="I34" s="24"/>
      <c r="J34" s="27"/>
    </row>
    <row r="35" customFormat="false" ht="15" hidden="false" customHeight="true" outlineLevel="0" collapsed="false">
      <c r="B35" s="28"/>
      <c r="C35" s="28"/>
      <c r="D35" s="16"/>
      <c r="E35" s="29"/>
      <c r="F35" s="28"/>
      <c r="G35" s="28"/>
      <c r="H35" s="28"/>
      <c r="I35" s="28"/>
      <c r="J35" s="30"/>
    </row>
    <row r="36" customFormat="false" ht="15" hidden="false" customHeight="true" outlineLevel="0" collapsed="false">
      <c r="B36" s="24"/>
      <c r="C36" s="24"/>
      <c r="D36" s="25"/>
      <c r="E36" s="26"/>
      <c r="F36" s="24"/>
      <c r="G36" s="24"/>
      <c r="H36" s="24"/>
      <c r="I36" s="24"/>
      <c r="J36" s="27"/>
    </row>
    <row r="37" customFormat="false" ht="15" hidden="false" customHeight="true" outlineLevel="0" collapsed="false">
      <c r="B37" s="28"/>
      <c r="C37" s="28"/>
      <c r="D37" s="16"/>
      <c r="E37" s="29"/>
      <c r="F37" s="28"/>
      <c r="G37" s="28"/>
      <c r="H37" s="28"/>
      <c r="I37" s="28"/>
      <c r="J37" s="30"/>
    </row>
    <row r="38" customFormat="false" ht="15" hidden="false" customHeight="true" outlineLevel="0" collapsed="false">
      <c r="B38" s="24"/>
      <c r="C38" s="24"/>
      <c r="D38" s="25"/>
      <c r="E38" s="26"/>
      <c r="F38" s="24"/>
      <c r="G38" s="24"/>
      <c r="H38" s="24"/>
      <c r="I38" s="24"/>
      <c r="J38" s="27"/>
    </row>
    <row r="39" customFormat="false" ht="15" hidden="false" customHeight="true" outlineLevel="0" collapsed="false">
      <c r="B39" s="28"/>
      <c r="C39" s="28"/>
      <c r="D39" s="16"/>
      <c r="E39" s="29"/>
      <c r="F39" s="28"/>
      <c r="G39" s="28"/>
      <c r="H39" s="28"/>
      <c r="I39" s="28"/>
      <c r="J39" s="30"/>
    </row>
    <row r="40" customFormat="false" ht="15" hidden="false" customHeight="true" outlineLevel="0" collapsed="false">
      <c r="B40" s="24"/>
      <c r="C40" s="24"/>
      <c r="D40" s="25"/>
      <c r="E40" s="26"/>
      <c r="F40" s="24"/>
      <c r="G40" s="24"/>
      <c r="H40" s="24"/>
      <c r="I40" s="24"/>
      <c r="J40" s="27"/>
    </row>
    <row r="41" customFormat="false" ht="15" hidden="false" customHeight="true" outlineLevel="0" collapsed="false">
      <c r="B41" s="28"/>
      <c r="C41" s="28"/>
      <c r="D41" s="16"/>
      <c r="E41" s="29"/>
      <c r="F41" s="28"/>
      <c r="G41" s="28"/>
      <c r="H41" s="28"/>
      <c r="I41" s="28"/>
      <c r="J41" s="30"/>
    </row>
    <row r="42" customFormat="false" ht="15" hidden="false" customHeight="true" outlineLevel="0" collapsed="false">
      <c r="B42" s="24"/>
      <c r="C42" s="24"/>
      <c r="D42" s="25"/>
      <c r="E42" s="26"/>
      <c r="F42" s="24"/>
      <c r="G42" s="24"/>
      <c r="H42" s="24"/>
      <c r="I42" s="24"/>
      <c r="J42" s="27"/>
    </row>
    <row r="43" customFormat="false" ht="15" hidden="false" customHeight="true" outlineLevel="0" collapsed="false">
      <c r="B43" s="28"/>
      <c r="C43" s="28"/>
      <c r="D43" s="16"/>
      <c r="E43" s="29"/>
      <c r="F43" s="28"/>
      <c r="G43" s="28"/>
      <c r="H43" s="28"/>
      <c r="I43" s="28"/>
      <c r="J43" s="30"/>
    </row>
    <row r="44" customFormat="false" ht="15" hidden="false" customHeight="true" outlineLevel="0" collapsed="false">
      <c r="B44" s="24"/>
      <c r="C44" s="24"/>
      <c r="D44" s="25"/>
      <c r="E44" s="26"/>
      <c r="F44" s="24"/>
      <c r="G44" s="24"/>
      <c r="H44" s="24"/>
      <c r="I44" s="24"/>
      <c r="J44" s="27"/>
    </row>
    <row r="45" customFormat="false" ht="15" hidden="false" customHeight="true" outlineLevel="0" collapsed="false">
      <c r="B45" s="28"/>
      <c r="C45" s="28"/>
      <c r="D45" s="16"/>
      <c r="E45" s="29"/>
      <c r="F45" s="28"/>
      <c r="G45" s="28"/>
      <c r="H45" s="28"/>
      <c r="I45" s="28"/>
      <c r="J45" s="30"/>
    </row>
    <row r="46" customFormat="false" ht="15" hidden="false" customHeight="true" outlineLevel="0" collapsed="false">
      <c r="B46" s="24"/>
      <c r="C46" s="24"/>
      <c r="D46" s="25"/>
      <c r="E46" s="26"/>
      <c r="F46" s="24"/>
      <c r="G46" s="24"/>
      <c r="H46" s="24"/>
      <c r="I46" s="24"/>
      <c r="J46" s="27"/>
    </row>
    <row r="47" customFormat="false" ht="15" hidden="false" customHeight="true" outlineLevel="0" collapsed="false">
      <c r="B47" s="28"/>
      <c r="C47" s="28"/>
      <c r="D47" s="16"/>
      <c r="E47" s="29"/>
      <c r="F47" s="28"/>
      <c r="G47" s="28"/>
      <c r="H47" s="28"/>
      <c r="I47" s="28"/>
      <c r="J47" s="30"/>
    </row>
    <row r="48" customFormat="false" ht="15" hidden="false" customHeight="true" outlineLevel="0" collapsed="false">
      <c r="B48" s="24"/>
      <c r="C48" s="24"/>
      <c r="D48" s="25"/>
      <c r="E48" s="26"/>
      <c r="F48" s="24"/>
      <c r="G48" s="24"/>
      <c r="H48" s="24"/>
      <c r="I48" s="24"/>
      <c r="J48" s="27"/>
    </row>
    <row r="49" customFormat="false" ht="15" hidden="false" customHeight="true" outlineLevel="0" collapsed="false">
      <c r="B49" s="28"/>
      <c r="C49" s="28"/>
      <c r="D49" s="16"/>
      <c r="E49" s="29"/>
      <c r="F49" s="28"/>
      <c r="G49" s="28"/>
      <c r="H49" s="28"/>
      <c r="I49" s="28"/>
      <c r="J49" s="30"/>
    </row>
    <row r="50" customFormat="false" ht="15" hidden="false" customHeight="true" outlineLevel="0" collapsed="false">
      <c r="B50" s="24"/>
      <c r="C50" s="24"/>
      <c r="D50" s="25"/>
      <c r="E50" s="26"/>
      <c r="F50" s="24"/>
      <c r="G50" s="24"/>
      <c r="H50" s="24"/>
      <c r="I50" s="24"/>
      <c r="J50" s="27"/>
    </row>
    <row r="51" customFormat="false" ht="15" hidden="false" customHeight="true" outlineLevel="0" collapsed="false">
      <c r="B51" s="28"/>
      <c r="C51" s="28"/>
      <c r="D51" s="16"/>
      <c r="E51" s="29"/>
      <c r="F51" s="28"/>
      <c r="G51" s="28"/>
      <c r="H51" s="28"/>
      <c r="I51" s="28"/>
      <c r="J51" s="30"/>
    </row>
    <row r="52" customFormat="false" ht="15" hidden="false" customHeight="true" outlineLevel="0" collapsed="false">
      <c r="B52" s="24"/>
      <c r="C52" s="24"/>
      <c r="D52" s="25"/>
      <c r="E52" s="26"/>
      <c r="F52" s="24"/>
      <c r="G52" s="24"/>
      <c r="H52" s="24"/>
      <c r="I52" s="24"/>
      <c r="J52" s="27"/>
    </row>
    <row r="53" customFormat="false" ht="15" hidden="false" customHeight="true" outlineLevel="0" collapsed="false">
      <c r="B53" s="28"/>
      <c r="C53" s="28"/>
      <c r="D53" s="16"/>
      <c r="E53" s="29"/>
      <c r="F53" s="28"/>
      <c r="G53" s="28"/>
      <c r="H53" s="28"/>
      <c r="I53" s="28"/>
      <c r="J53" s="30"/>
    </row>
    <row r="54" customFormat="false" ht="15" hidden="false" customHeight="true" outlineLevel="0" collapsed="false">
      <c r="B54" s="24"/>
      <c r="C54" s="24"/>
      <c r="D54" s="25"/>
      <c r="E54" s="26"/>
      <c r="F54" s="24"/>
      <c r="G54" s="24"/>
      <c r="H54" s="24"/>
      <c r="I54" s="24"/>
      <c r="J54" s="27"/>
    </row>
    <row r="55" customFormat="false" ht="15" hidden="false" customHeight="true" outlineLevel="0" collapsed="false">
      <c r="B55" s="28"/>
      <c r="C55" s="28"/>
      <c r="D55" s="16"/>
      <c r="E55" s="29"/>
      <c r="F55" s="28"/>
      <c r="G55" s="28"/>
      <c r="H55" s="28"/>
      <c r="I55" s="28"/>
      <c r="J55" s="30"/>
    </row>
    <row r="56" customFormat="false" ht="15" hidden="false" customHeight="true" outlineLevel="0" collapsed="false">
      <c r="B56" s="24"/>
      <c r="C56" s="24"/>
      <c r="D56" s="25"/>
      <c r="E56" s="26"/>
      <c r="F56" s="24"/>
      <c r="G56" s="24"/>
      <c r="H56" s="24"/>
      <c r="I56" s="24"/>
      <c r="J56" s="27"/>
    </row>
    <row r="57" customFormat="false" ht="15" hidden="false" customHeight="true" outlineLevel="0" collapsed="false">
      <c r="B57" s="28"/>
      <c r="C57" s="28"/>
      <c r="D57" s="16"/>
      <c r="E57" s="29"/>
      <c r="F57" s="28"/>
      <c r="G57" s="28"/>
      <c r="H57" s="28"/>
      <c r="I57" s="28"/>
      <c r="J57" s="30"/>
    </row>
    <row r="58" customFormat="false" ht="15" hidden="false" customHeight="true" outlineLevel="0" collapsed="false">
      <c r="B58" s="24"/>
      <c r="C58" s="24"/>
      <c r="D58" s="25"/>
      <c r="E58" s="26"/>
      <c r="F58" s="24"/>
      <c r="G58" s="24"/>
      <c r="H58" s="24"/>
      <c r="I58" s="24"/>
      <c r="J58" s="27"/>
    </row>
    <row r="59" customFormat="false" ht="15" hidden="false" customHeight="true" outlineLevel="0" collapsed="false">
      <c r="B59" s="28"/>
      <c r="C59" s="28"/>
      <c r="D59" s="16"/>
      <c r="E59" s="29"/>
      <c r="F59" s="28"/>
      <c r="G59" s="28"/>
      <c r="H59" s="28"/>
      <c r="I59" s="28"/>
      <c r="J59" s="30"/>
    </row>
    <row r="60" customFormat="false" ht="15" hidden="false" customHeight="true" outlineLevel="0" collapsed="false">
      <c r="B60" s="24"/>
      <c r="C60" s="24"/>
      <c r="D60" s="25"/>
      <c r="E60" s="26"/>
      <c r="F60" s="24"/>
      <c r="G60" s="24"/>
      <c r="H60" s="24"/>
      <c r="I60" s="24"/>
      <c r="J60" s="27"/>
    </row>
  </sheetData>
  <mergeCells count="2">
    <mergeCell ref="A1:J1"/>
    <mergeCell ref="B2:J2"/>
  </mergeCells>
  <conditionalFormatting sqref="I4:I60">
    <cfRule type="cellIs" priority="2" operator="equal" aboveAverage="0" equalAverage="0" bottom="0" percent="0" rank="0" text="" dxfId="2">
      <formula>"New"</formula>
    </cfRule>
    <cfRule type="cellIs" priority="3" operator="equal" aboveAverage="0" equalAverage="0" bottom="0" percent="0" rank="0" text="" dxfId="3">
      <formula>"Contacted"</formula>
    </cfRule>
    <cfRule type="cellIs" priority="4" operator="equal" aboveAverage="0" equalAverage="0" bottom="0" percent="0" rank="0" text="" dxfId="4">
      <formula>"Mockup Sent"</formula>
    </cfRule>
    <cfRule type="cellIs" priority="5" operator="equal" aboveAverage="0" equalAverage="0" bottom="0" percent="0" rank="0" text="" dxfId="5">
      <formula>"Conversation"</formula>
    </cfRule>
    <cfRule type="cellIs" priority="6" operator="equal" aboveAverage="0" equalAverage="0" bottom="0" percent="0" rank="0" text="" dxfId="1">
      <formula>"Proposal Sent"</formula>
    </cfRule>
    <cfRule type="cellIs" priority="7" operator="equal" aboveAverage="0" equalAverage="0" bottom="0" percent="0" rank="0" text="" dxfId="0">
      <formula>"Won"</formula>
    </cfRule>
    <cfRule type="cellIs" priority="8" operator="equal" aboveAverage="0" equalAverage="0" bottom="0" percent="0" rank="0" text="" dxfId="6">
      <formula>"Lost"</formula>
    </cfRule>
  </conditionalFormatting>
  <dataValidations count="1">
    <dataValidation allowBlank="true" errorStyle="stop" operator="between" showDropDown="false" showErrorMessage="false" showInputMessage="false" sqref="I4:I60" type="list">
      <formula1>"New,Contacted,Mockup Sent,Conversation,Proposal Sent,Won,Lost"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16"/>
    <col collapsed="false" customWidth="true" hidden="false" outlineLevel="0" max="4" min="4" style="0" width="38"/>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30"/>
    <col collapsed="false" customWidth="true" hidden="false" outlineLevel="0" max="9" min="9" style="0" width="14"/>
  </cols>
  <sheetData>
    <row r="1" customFormat="false" ht="25.5" hidden="false" customHeight="true" outlineLevel="0" collapsed="false">
      <c r="A1" s="2" t="s">
        <v>96</v>
      </c>
      <c r="B1" s="2"/>
      <c r="C1" s="2"/>
      <c r="D1" s="2"/>
      <c r="E1" s="2"/>
      <c r="F1" s="2"/>
      <c r="G1" s="2"/>
      <c r="H1" s="2"/>
    </row>
    <row r="2" customFormat="false" ht="33.75" hidden="false" customHeight="true" outlineLevel="0" collapsed="false">
      <c r="B2" s="14" t="s">
        <v>97</v>
      </c>
      <c r="C2" s="14"/>
      <c r="D2" s="14"/>
      <c r="E2" s="14"/>
      <c r="F2" s="14"/>
      <c r="G2" s="14"/>
      <c r="H2" s="14"/>
    </row>
    <row r="3" customFormat="false" ht="30" hidden="false" customHeight="true" outlineLevel="0" collapsed="false">
      <c r="B3" s="6" t="s">
        <v>98</v>
      </c>
      <c r="C3" s="6" t="s">
        <v>99</v>
      </c>
      <c r="D3" s="6" t="s">
        <v>100</v>
      </c>
      <c r="E3" s="6" t="s">
        <v>101</v>
      </c>
      <c r="F3" s="6" t="s">
        <v>102</v>
      </c>
      <c r="G3" s="6" t="s">
        <v>103</v>
      </c>
      <c r="H3" s="6" t="s">
        <v>95</v>
      </c>
      <c r="I3" s="6" t="s">
        <v>93</v>
      </c>
    </row>
    <row r="4" customFormat="false" ht="15" hidden="false" customHeight="false" outlineLevel="0" collapsed="false">
      <c r="B4" s="24" t="s">
        <v>104</v>
      </c>
      <c r="C4" s="24" t="s">
        <v>105</v>
      </c>
      <c r="D4" s="31" t="s">
        <v>106</v>
      </c>
      <c r="E4" s="32"/>
      <c r="F4" s="33"/>
      <c r="G4" s="33"/>
      <c r="H4" s="27"/>
      <c r="I4" s="32"/>
    </row>
    <row r="5" customFormat="false" ht="15" hidden="false" customHeight="false" outlineLevel="0" collapsed="false">
      <c r="B5" s="28" t="s">
        <v>104</v>
      </c>
      <c r="C5" s="28" t="s">
        <v>107</v>
      </c>
      <c r="D5" s="34" t="s">
        <v>108</v>
      </c>
      <c r="E5" s="35"/>
      <c r="F5" s="36"/>
      <c r="G5" s="36"/>
      <c r="H5" s="30"/>
      <c r="I5" s="35"/>
    </row>
    <row r="6" customFormat="false" ht="15" hidden="false" customHeight="false" outlineLevel="0" collapsed="false">
      <c r="B6" s="24" t="s">
        <v>104</v>
      </c>
      <c r="C6" s="24" t="s">
        <v>109</v>
      </c>
      <c r="D6" s="31" t="s">
        <v>110</v>
      </c>
      <c r="E6" s="32"/>
      <c r="F6" s="33"/>
      <c r="G6" s="33"/>
      <c r="H6" s="27"/>
      <c r="I6" s="32"/>
    </row>
    <row r="7" customFormat="false" ht="15" hidden="false" customHeight="false" outlineLevel="0" collapsed="false">
      <c r="B7" s="28" t="s">
        <v>104</v>
      </c>
      <c r="C7" s="28" t="s">
        <v>111</v>
      </c>
      <c r="D7" s="34" t="s">
        <v>112</v>
      </c>
      <c r="E7" s="35"/>
      <c r="F7" s="36"/>
      <c r="G7" s="36"/>
      <c r="H7" s="30"/>
      <c r="I7" s="35"/>
    </row>
    <row r="8" customFormat="false" ht="15" hidden="false" customHeight="false" outlineLevel="0" collapsed="false">
      <c r="B8" s="24" t="s">
        <v>104</v>
      </c>
      <c r="C8" s="24" t="s">
        <v>113</v>
      </c>
      <c r="D8" s="31" t="s">
        <v>114</v>
      </c>
      <c r="E8" s="32"/>
      <c r="F8" s="33"/>
      <c r="G8" s="33"/>
      <c r="H8" s="27"/>
      <c r="I8" s="32"/>
    </row>
    <row r="9" customFormat="false" ht="15" hidden="false" customHeight="false" outlineLevel="0" collapsed="false">
      <c r="B9" s="28" t="s">
        <v>104</v>
      </c>
      <c r="C9" s="28" t="s">
        <v>115</v>
      </c>
      <c r="D9" s="34" t="s">
        <v>116</v>
      </c>
      <c r="E9" s="35"/>
      <c r="F9" s="36"/>
      <c r="G9" s="36"/>
      <c r="H9" s="30"/>
      <c r="I9" s="35"/>
    </row>
    <row r="10" customFormat="false" ht="15" hidden="false" customHeight="false" outlineLevel="0" collapsed="false">
      <c r="B10" s="24" t="s">
        <v>117</v>
      </c>
      <c r="C10" s="24" t="s">
        <v>105</v>
      </c>
      <c r="D10" s="31" t="s">
        <v>118</v>
      </c>
      <c r="E10" s="32"/>
      <c r="F10" s="33"/>
      <c r="G10" s="33"/>
      <c r="H10" s="27"/>
      <c r="I10" s="32"/>
    </row>
    <row r="11" customFormat="false" ht="15" hidden="false" customHeight="false" outlineLevel="0" collapsed="false">
      <c r="B11" s="28" t="s">
        <v>117</v>
      </c>
      <c r="C11" s="28" t="s">
        <v>107</v>
      </c>
      <c r="D11" s="34" t="s">
        <v>119</v>
      </c>
      <c r="E11" s="35"/>
      <c r="F11" s="36"/>
      <c r="G11" s="36"/>
      <c r="H11" s="30"/>
      <c r="I11" s="35"/>
    </row>
    <row r="12" customFormat="false" ht="15" hidden="false" customHeight="false" outlineLevel="0" collapsed="false">
      <c r="B12" s="24" t="s">
        <v>117</v>
      </c>
      <c r="C12" s="24" t="s">
        <v>109</v>
      </c>
      <c r="D12" s="31" t="s">
        <v>120</v>
      </c>
      <c r="E12" s="32"/>
      <c r="F12" s="33"/>
      <c r="G12" s="33"/>
      <c r="H12" s="27"/>
      <c r="I12" s="32"/>
    </row>
    <row r="13" customFormat="false" ht="15" hidden="false" customHeight="false" outlineLevel="0" collapsed="false">
      <c r="B13" s="28" t="s">
        <v>117</v>
      </c>
      <c r="C13" s="28" t="s">
        <v>111</v>
      </c>
      <c r="D13" s="34" t="s">
        <v>121</v>
      </c>
      <c r="E13" s="35"/>
      <c r="F13" s="36"/>
      <c r="G13" s="36"/>
      <c r="H13" s="30"/>
      <c r="I13" s="35"/>
    </row>
    <row r="14" customFormat="false" ht="15" hidden="false" customHeight="false" outlineLevel="0" collapsed="false">
      <c r="B14" s="24" t="s">
        <v>117</v>
      </c>
      <c r="C14" s="24" t="s">
        <v>113</v>
      </c>
      <c r="D14" s="31" t="s">
        <v>122</v>
      </c>
      <c r="E14" s="32"/>
      <c r="F14" s="33"/>
      <c r="G14" s="33"/>
      <c r="H14" s="27"/>
      <c r="I14" s="32"/>
    </row>
    <row r="15" customFormat="false" ht="15" hidden="false" customHeight="false" outlineLevel="0" collapsed="false">
      <c r="B15" s="28" t="s">
        <v>117</v>
      </c>
      <c r="C15" s="28" t="s">
        <v>115</v>
      </c>
      <c r="D15" s="34" t="s">
        <v>123</v>
      </c>
      <c r="E15" s="35"/>
      <c r="F15" s="36"/>
      <c r="G15" s="36"/>
      <c r="H15" s="30"/>
      <c r="I15" s="35"/>
    </row>
    <row r="16" customFormat="false" ht="15" hidden="false" customHeight="false" outlineLevel="0" collapsed="false">
      <c r="B16" s="24" t="s">
        <v>124</v>
      </c>
      <c r="C16" s="24" t="s">
        <v>105</v>
      </c>
      <c r="D16" s="31" t="s">
        <v>125</v>
      </c>
      <c r="E16" s="32"/>
      <c r="F16" s="33"/>
      <c r="G16" s="33"/>
      <c r="H16" s="27"/>
      <c r="I16" s="32"/>
    </row>
    <row r="17" customFormat="false" ht="15" hidden="false" customHeight="false" outlineLevel="0" collapsed="false">
      <c r="B17" s="28" t="s">
        <v>124</v>
      </c>
      <c r="C17" s="28" t="s">
        <v>107</v>
      </c>
      <c r="D17" s="34" t="s">
        <v>126</v>
      </c>
      <c r="E17" s="35"/>
      <c r="F17" s="36"/>
      <c r="G17" s="36"/>
      <c r="H17" s="30"/>
      <c r="I17" s="35"/>
    </row>
    <row r="18" customFormat="false" ht="15" hidden="false" customHeight="false" outlineLevel="0" collapsed="false">
      <c r="B18" s="24" t="s">
        <v>124</v>
      </c>
      <c r="C18" s="24" t="s">
        <v>109</v>
      </c>
      <c r="D18" s="31" t="s">
        <v>127</v>
      </c>
      <c r="E18" s="32"/>
      <c r="F18" s="33"/>
      <c r="G18" s="33"/>
      <c r="H18" s="27"/>
      <c r="I18" s="32"/>
    </row>
    <row r="19" customFormat="false" ht="15" hidden="false" customHeight="false" outlineLevel="0" collapsed="false">
      <c r="B19" s="28" t="s">
        <v>124</v>
      </c>
      <c r="C19" s="28" t="s">
        <v>111</v>
      </c>
      <c r="D19" s="34" t="s">
        <v>128</v>
      </c>
      <c r="E19" s="35"/>
      <c r="F19" s="36"/>
      <c r="G19" s="36"/>
      <c r="H19" s="30"/>
      <c r="I19" s="35"/>
    </row>
    <row r="20" customFormat="false" ht="15" hidden="false" customHeight="false" outlineLevel="0" collapsed="false">
      <c r="B20" s="24" t="s">
        <v>124</v>
      </c>
      <c r="C20" s="24" t="s">
        <v>113</v>
      </c>
      <c r="D20" s="31" t="s">
        <v>129</v>
      </c>
      <c r="E20" s="32"/>
      <c r="F20" s="33"/>
      <c r="G20" s="33"/>
      <c r="H20" s="27"/>
      <c r="I20" s="32"/>
    </row>
    <row r="21" customFormat="false" ht="15" hidden="false" customHeight="false" outlineLevel="0" collapsed="false">
      <c r="B21" s="28" t="s">
        <v>124</v>
      </c>
      <c r="C21" s="28" t="s">
        <v>115</v>
      </c>
      <c r="D21" s="34" t="s">
        <v>130</v>
      </c>
      <c r="E21" s="35"/>
      <c r="F21" s="36"/>
      <c r="G21" s="36"/>
      <c r="H21" s="30"/>
      <c r="I21" s="35"/>
    </row>
    <row r="22" customFormat="false" ht="15" hidden="false" customHeight="false" outlineLevel="0" collapsed="false">
      <c r="B22" s="24" t="s">
        <v>131</v>
      </c>
      <c r="C22" s="24" t="s">
        <v>105</v>
      </c>
      <c r="D22" s="31" t="s">
        <v>132</v>
      </c>
      <c r="E22" s="32"/>
      <c r="F22" s="33"/>
      <c r="G22" s="33"/>
      <c r="H22" s="27"/>
      <c r="I22" s="32"/>
    </row>
    <row r="23" customFormat="false" ht="15" hidden="false" customHeight="false" outlineLevel="0" collapsed="false">
      <c r="B23" s="28" t="s">
        <v>131</v>
      </c>
      <c r="C23" s="28" t="s">
        <v>107</v>
      </c>
      <c r="D23" s="34" t="s">
        <v>133</v>
      </c>
      <c r="E23" s="35"/>
      <c r="F23" s="36"/>
      <c r="G23" s="36"/>
      <c r="H23" s="30"/>
      <c r="I23" s="35"/>
    </row>
    <row r="24" customFormat="false" ht="15" hidden="false" customHeight="false" outlineLevel="0" collapsed="false">
      <c r="B24" s="24" t="s">
        <v>131</v>
      </c>
      <c r="C24" s="24" t="s">
        <v>109</v>
      </c>
      <c r="D24" s="31" t="s">
        <v>134</v>
      </c>
      <c r="E24" s="32"/>
      <c r="F24" s="33"/>
      <c r="G24" s="33"/>
      <c r="H24" s="27"/>
      <c r="I24" s="32"/>
    </row>
    <row r="25" customFormat="false" ht="15" hidden="false" customHeight="false" outlineLevel="0" collapsed="false">
      <c r="B25" s="28" t="s">
        <v>131</v>
      </c>
      <c r="C25" s="28" t="s">
        <v>111</v>
      </c>
      <c r="D25" s="34" t="s">
        <v>135</v>
      </c>
      <c r="E25" s="35"/>
      <c r="F25" s="36"/>
      <c r="G25" s="36"/>
      <c r="H25" s="30"/>
      <c r="I25" s="35"/>
    </row>
    <row r="26" customFormat="false" ht="15" hidden="false" customHeight="false" outlineLevel="0" collapsed="false">
      <c r="B26" s="24" t="s">
        <v>131</v>
      </c>
      <c r="C26" s="24" t="s">
        <v>113</v>
      </c>
      <c r="D26" s="31" t="s">
        <v>136</v>
      </c>
      <c r="E26" s="32"/>
      <c r="F26" s="33"/>
      <c r="G26" s="33"/>
      <c r="H26" s="27"/>
      <c r="I26" s="32"/>
    </row>
    <row r="27" customFormat="false" ht="15" hidden="false" customHeight="false" outlineLevel="0" collapsed="false">
      <c r="B27" s="28" t="s">
        <v>131</v>
      </c>
      <c r="C27" s="28" t="s">
        <v>115</v>
      </c>
      <c r="D27" s="34" t="s">
        <v>137</v>
      </c>
      <c r="E27" s="35"/>
      <c r="F27" s="36"/>
      <c r="G27" s="36"/>
      <c r="H27" s="30"/>
      <c r="I27" s="35"/>
    </row>
    <row r="28" customFormat="false" ht="15" hidden="false" customHeight="false" outlineLevel="0" collapsed="false">
      <c r="B28" s="24" t="s">
        <v>138</v>
      </c>
      <c r="C28" s="24" t="s">
        <v>105</v>
      </c>
      <c r="D28" s="31" t="s">
        <v>139</v>
      </c>
      <c r="E28" s="32"/>
      <c r="F28" s="33"/>
      <c r="G28" s="33"/>
      <c r="H28" s="27"/>
      <c r="I28" s="32"/>
    </row>
    <row r="29" customFormat="false" ht="15" hidden="false" customHeight="false" outlineLevel="0" collapsed="false">
      <c r="B29" s="28" t="s">
        <v>138</v>
      </c>
      <c r="C29" s="28" t="s">
        <v>107</v>
      </c>
      <c r="D29" s="34" t="s">
        <v>140</v>
      </c>
      <c r="E29" s="35"/>
      <c r="F29" s="36"/>
      <c r="G29" s="36"/>
      <c r="H29" s="30"/>
      <c r="I29" s="35"/>
    </row>
    <row r="30" customFormat="false" ht="15" hidden="false" customHeight="false" outlineLevel="0" collapsed="false">
      <c r="B30" s="24" t="s">
        <v>138</v>
      </c>
      <c r="C30" s="24" t="s">
        <v>109</v>
      </c>
      <c r="D30" s="31" t="s">
        <v>141</v>
      </c>
      <c r="E30" s="32"/>
      <c r="F30" s="33"/>
      <c r="G30" s="33"/>
      <c r="H30" s="27"/>
      <c r="I30" s="32"/>
    </row>
    <row r="31" customFormat="false" ht="15" hidden="false" customHeight="false" outlineLevel="0" collapsed="false">
      <c r="B31" s="28" t="s">
        <v>138</v>
      </c>
      <c r="C31" s="28" t="s">
        <v>111</v>
      </c>
      <c r="D31" s="34" t="s">
        <v>142</v>
      </c>
      <c r="E31" s="35"/>
      <c r="F31" s="36"/>
      <c r="G31" s="36"/>
      <c r="H31" s="30"/>
      <c r="I31" s="35"/>
    </row>
    <row r="32" customFormat="false" ht="15" hidden="false" customHeight="false" outlineLevel="0" collapsed="false">
      <c r="B32" s="24" t="s">
        <v>138</v>
      </c>
      <c r="C32" s="24" t="s">
        <v>113</v>
      </c>
      <c r="D32" s="31" t="s">
        <v>143</v>
      </c>
      <c r="E32" s="32"/>
      <c r="F32" s="33"/>
      <c r="G32" s="33"/>
      <c r="H32" s="27"/>
      <c r="I32" s="32"/>
    </row>
    <row r="33" customFormat="false" ht="15" hidden="false" customHeight="false" outlineLevel="0" collapsed="false">
      <c r="B33" s="28" t="s">
        <v>138</v>
      </c>
      <c r="C33" s="28" t="s">
        <v>115</v>
      </c>
      <c r="D33" s="34" t="s">
        <v>144</v>
      </c>
      <c r="E33" s="35"/>
      <c r="F33" s="36"/>
      <c r="G33" s="36"/>
      <c r="H33" s="30"/>
      <c r="I33" s="35"/>
    </row>
    <row r="34" customFormat="false" ht="15" hidden="false" customHeight="false" outlineLevel="0" collapsed="false">
      <c r="B34" s="24" t="s">
        <v>145</v>
      </c>
      <c r="C34" s="24" t="s">
        <v>105</v>
      </c>
      <c r="D34" s="31" t="s">
        <v>146</v>
      </c>
      <c r="E34" s="32"/>
      <c r="F34" s="33"/>
      <c r="G34" s="33"/>
      <c r="H34" s="27"/>
      <c r="I34" s="32"/>
    </row>
    <row r="35" customFormat="false" ht="15" hidden="false" customHeight="false" outlineLevel="0" collapsed="false">
      <c r="B35" s="28" t="s">
        <v>145</v>
      </c>
      <c r="C35" s="28" t="s">
        <v>107</v>
      </c>
      <c r="D35" s="34" t="s">
        <v>147</v>
      </c>
      <c r="E35" s="35"/>
      <c r="F35" s="36"/>
      <c r="G35" s="36"/>
      <c r="H35" s="30"/>
      <c r="I35" s="35"/>
    </row>
    <row r="36" customFormat="false" ht="15" hidden="false" customHeight="false" outlineLevel="0" collapsed="false">
      <c r="B36" s="24" t="s">
        <v>145</v>
      </c>
      <c r="C36" s="24" t="s">
        <v>109</v>
      </c>
      <c r="D36" s="31" t="s">
        <v>148</v>
      </c>
      <c r="E36" s="32"/>
      <c r="F36" s="33"/>
      <c r="G36" s="33"/>
      <c r="H36" s="27"/>
      <c r="I36" s="32"/>
    </row>
    <row r="37" customFormat="false" ht="15" hidden="false" customHeight="false" outlineLevel="0" collapsed="false">
      <c r="B37" s="28" t="s">
        <v>145</v>
      </c>
      <c r="C37" s="28" t="s">
        <v>111</v>
      </c>
      <c r="D37" s="34" t="s">
        <v>149</v>
      </c>
      <c r="E37" s="35"/>
      <c r="F37" s="36"/>
      <c r="G37" s="36"/>
      <c r="H37" s="30"/>
      <c r="I37" s="35"/>
    </row>
    <row r="38" customFormat="false" ht="15" hidden="false" customHeight="false" outlineLevel="0" collapsed="false">
      <c r="B38" s="24" t="s">
        <v>145</v>
      </c>
      <c r="C38" s="24" t="s">
        <v>113</v>
      </c>
      <c r="D38" s="31" t="s">
        <v>150</v>
      </c>
      <c r="E38" s="32"/>
      <c r="F38" s="33"/>
      <c r="G38" s="33"/>
      <c r="H38" s="27"/>
      <c r="I38" s="32"/>
    </row>
    <row r="39" customFormat="false" ht="15" hidden="false" customHeight="false" outlineLevel="0" collapsed="false">
      <c r="B39" s="28" t="s">
        <v>145</v>
      </c>
      <c r="C39" s="28" t="s">
        <v>115</v>
      </c>
      <c r="D39" s="34" t="s">
        <v>151</v>
      </c>
      <c r="E39" s="35"/>
      <c r="F39" s="36"/>
      <c r="G39" s="36"/>
      <c r="H39" s="30"/>
      <c r="I39" s="35"/>
    </row>
    <row r="40" customFormat="false" ht="15" hidden="false" customHeight="false" outlineLevel="0" collapsed="false">
      <c r="B40" s="24" t="s">
        <v>152</v>
      </c>
      <c r="C40" s="24" t="s">
        <v>105</v>
      </c>
      <c r="D40" s="31" t="s">
        <v>153</v>
      </c>
      <c r="E40" s="32"/>
      <c r="F40" s="33"/>
      <c r="G40" s="33"/>
      <c r="H40" s="27"/>
      <c r="I40" s="32"/>
    </row>
    <row r="41" customFormat="false" ht="15" hidden="false" customHeight="false" outlineLevel="0" collapsed="false">
      <c r="B41" s="28" t="s">
        <v>152</v>
      </c>
      <c r="C41" s="28" t="s">
        <v>107</v>
      </c>
      <c r="D41" s="34" t="s">
        <v>154</v>
      </c>
      <c r="E41" s="35"/>
      <c r="F41" s="36"/>
      <c r="G41" s="36"/>
      <c r="H41" s="30"/>
      <c r="I41" s="35"/>
    </row>
    <row r="42" customFormat="false" ht="15" hidden="false" customHeight="false" outlineLevel="0" collapsed="false">
      <c r="B42" s="24" t="s">
        <v>152</v>
      </c>
      <c r="C42" s="24" t="s">
        <v>109</v>
      </c>
      <c r="D42" s="31" t="s">
        <v>155</v>
      </c>
      <c r="E42" s="32"/>
      <c r="F42" s="33"/>
      <c r="G42" s="33"/>
      <c r="H42" s="27"/>
      <c r="I42" s="32"/>
    </row>
    <row r="43" customFormat="false" ht="15" hidden="false" customHeight="false" outlineLevel="0" collapsed="false">
      <c r="B43" s="28" t="s">
        <v>152</v>
      </c>
      <c r="C43" s="28" t="s">
        <v>111</v>
      </c>
      <c r="D43" s="34" t="s">
        <v>156</v>
      </c>
      <c r="E43" s="35"/>
      <c r="F43" s="36"/>
      <c r="G43" s="36"/>
      <c r="H43" s="30"/>
      <c r="I43" s="35"/>
    </row>
    <row r="44" customFormat="false" ht="15" hidden="false" customHeight="false" outlineLevel="0" collapsed="false">
      <c r="B44" s="24" t="s">
        <v>152</v>
      </c>
      <c r="C44" s="24" t="s">
        <v>113</v>
      </c>
      <c r="D44" s="31" t="s">
        <v>157</v>
      </c>
      <c r="E44" s="32"/>
      <c r="F44" s="33"/>
      <c r="G44" s="33"/>
      <c r="H44" s="27"/>
      <c r="I44" s="32"/>
    </row>
    <row r="45" customFormat="false" ht="15" hidden="false" customHeight="false" outlineLevel="0" collapsed="false">
      <c r="B45" s="28" t="s">
        <v>152</v>
      </c>
      <c r="C45" s="28" t="s">
        <v>115</v>
      </c>
      <c r="D45" s="34" t="s">
        <v>158</v>
      </c>
      <c r="E45" s="35"/>
      <c r="F45" s="36"/>
      <c r="G45" s="36"/>
      <c r="H45" s="30"/>
      <c r="I45" s="35"/>
    </row>
    <row r="46" customFormat="false" ht="15" hidden="false" customHeight="false" outlineLevel="0" collapsed="false">
      <c r="B46" s="24" t="s">
        <v>159</v>
      </c>
      <c r="C46" s="24" t="s">
        <v>105</v>
      </c>
      <c r="D46" s="31" t="s">
        <v>160</v>
      </c>
      <c r="E46" s="32"/>
      <c r="F46" s="33"/>
      <c r="G46" s="33"/>
      <c r="H46" s="27"/>
      <c r="I46" s="32"/>
    </row>
    <row r="47" customFormat="false" ht="15" hidden="false" customHeight="false" outlineLevel="0" collapsed="false">
      <c r="B47" s="28" t="s">
        <v>159</v>
      </c>
      <c r="C47" s="28" t="s">
        <v>107</v>
      </c>
      <c r="D47" s="34" t="s">
        <v>161</v>
      </c>
      <c r="E47" s="35"/>
      <c r="F47" s="36"/>
      <c r="G47" s="36"/>
      <c r="H47" s="30"/>
      <c r="I47" s="35"/>
    </row>
    <row r="48" customFormat="false" ht="15" hidden="false" customHeight="false" outlineLevel="0" collapsed="false">
      <c r="B48" s="24" t="s">
        <v>159</v>
      </c>
      <c r="C48" s="24" t="s">
        <v>109</v>
      </c>
      <c r="D48" s="31" t="s">
        <v>162</v>
      </c>
      <c r="E48" s="32"/>
      <c r="F48" s="33"/>
      <c r="G48" s="33"/>
      <c r="H48" s="27"/>
      <c r="I48" s="32"/>
    </row>
    <row r="49" customFormat="false" ht="15" hidden="false" customHeight="false" outlineLevel="0" collapsed="false">
      <c r="B49" s="28" t="s">
        <v>159</v>
      </c>
      <c r="C49" s="28" t="s">
        <v>111</v>
      </c>
      <c r="D49" s="34" t="s">
        <v>163</v>
      </c>
      <c r="E49" s="35"/>
      <c r="F49" s="36"/>
      <c r="G49" s="36"/>
      <c r="H49" s="30"/>
      <c r="I49" s="35"/>
    </row>
    <row r="50" customFormat="false" ht="15" hidden="false" customHeight="false" outlineLevel="0" collapsed="false">
      <c r="B50" s="24" t="s">
        <v>159</v>
      </c>
      <c r="C50" s="24" t="s">
        <v>113</v>
      </c>
      <c r="D50" s="31" t="s">
        <v>164</v>
      </c>
      <c r="E50" s="32"/>
      <c r="F50" s="33"/>
      <c r="G50" s="33"/>
      <c r="H50" s="27"/>
      <c r="I50" s="32"/>
    </row>
    <row r="51" customFormat="false" ht="15" hidden="false" customHeight="false" outlineLevel="0" collapsed="false">
      <c r="B51" s="28" t="s">
        <v>159</v>
      </c>
      <c r="C51" s="28" t="s">
        <v>115</v>
      </c>
      <c r="D51" s="34" t="s">
        <v>165</v>
      </c>
      <c r="E51" s="35"/>
      <c r="F51" s="36"/>
      <c r="G51" s="36"/>
      <c r="H51" s="30"/>
      <c r="I51" s="35"/>
    </row>
    <row r="52" customFormat="false" ht="15" hidden="false" customHeight="false" outlineLevel="0" collapsed="false">
      <c r="B52" s="24" t="s">
        <v>166</v>
      </c>
      <c r="C52" s="24" t="s">
        <v>105</v>
      </c>
      <c r="D52" s="31" t="s">
        <v>167</v>
      </c>
      <c r="E52" s="32"/>
      <c r="F52" s="33"/>
      <c r="G52" s="33"/>
      <c r="H52" s="27"/>
      <c r="I52" s="32"/>
    </row>
    <row r="53" customFormat="false" ht="15" hidden="false" customHeight="false" outlineLevel="0" collapsed="false">
      <c r="B53" s="28" t="s">
        <v>166</v>
      </c>
      <c r="C53" s="28" t="s">
        <v>107</v>
      </c>
      <c r="D53" s="34" t="s">
        <v>168</v>
      </c>
      <c r="E53" s="35"/>
      <c r="F53" s="36"/>
      <c r="G53" s="36"/>
      <c r="H53" s="30"/>
      <c r="I53" s="35"/>
    </row>
    <row r="54" customFormat="false" ht="15" hidden="false" customHeight="false" outlineLevel="0" collapsed="false">
      <c r="B54" s="24" t="s">
        <v>166</v>
      </c>
      <c r="C54" s="24" t="s">
        <v>109</v>
      </c>
      <c r="D54" s="31" t="s">
        <v>169</v>
      </c>
      <c r="E54" s="32"/>
      <c r="F54" s="33"/>
      <c r="G54" s="33"/>
      <c r="H54" s="27"/>
      <c r="I54" s="32"/>
    </row>
    <row r="55" customFormat="false" ht="15" hidden="false" customHeight="false" outlineLevel="0" collapsed="false">
      <c r="B55" s="28" t="s">
        <v>166</v>
      </c>
      <c r="C55" s="28" t="s">
        <v>111</v>
      </c>
      <c r="D55" s="34" t="s">
        <v>170</v>
      </c>
      <c r="E55" s="35"/>
      <c r="F55" s="36"/>
      <c r="G55" s="36"/>
      <c r="H55" s="30"/>
      <c r="I55" s="35"/>
    </row>
    <row r="56" customFormat="false" ht="15" hidden="false" customHeight="false" outlineLevel="0" collapsed="false">
      <c r="B56" s="24" t="s">
        <v>166</v>
      </c>
      <c r="C56" s="24" t="s">
        <v>113</v>
      </c>
      <c r="D56" s="31" t="s">
        <v>171</v>
      </c>
      <c r="E56" s="32"/>
      <c r="F56" s="33"/>
      <c r="G56" s="33"/>
      <c r="H56" s="27"/>
      <c r="I56" s="32"/>
    </row>
    <row r="57" customFormat="false" ht="15" hidden="false" customHeight="false" outlineLevel="0" collapsed="false">
      <c r="B57" s="28" t="s">
        <v>166</v>
      </c>
      <c r="C57" s="28" t="s">
        <v>115</v>
      </c>
      <c r="D57" s="34" t="s">
        <v>172</v>
      </c>
      <c r="E57" s="35"/>
      <c r="F57" s="36"/>
      <c r="G57" s="36"/>
      <c r="H57" s="30"/>
      <c r="I57" s="35"/>
    </row>
    <row r="58" customFormat="false" ht="15" hidden="false" customHeight="false" outlineLevel="0" collapsed="false">
      <c r="B58" s="24" t="s">
        <v>173</v>
      </c>
      <c r="C58" s="24" t="s">
        <v>105</v>
      </c>
      <c r="D58" s="31" t="s">
        <v>174</v>
      </c>
      <c r="E58" s="32"/>
      <c r="F58" s="33"/>
      <c r="G58" s="33"/>
      <c r="H58" s="27"/>
      <c r="I58" s="32"/>
    </row>
    <row r="59" customFormat="false" ht="15" hidden="false" customHeight="false" outlineLevel="0" collapsed="false">
      <c r="B59" s="28" t="s">
        <v>173</v>
      </c>
      <c r="C59" s="28" t="s">
        <v>107</v>
      </c>
      <c r="D59" s="34" t="s">
        <v>175</v>
      </c>
      <c r="E59" s="35"/>
      <c r="F59" s="36"/>
      <c r="G59" s="36"/>
      <c r="H59" s="30"/>
      <c r="I59" s="35"/>
    </row>
    <row r="60" customFormat="false" ht="15" hidden="false" customHeight="false" outlineLevel="0" collapsed="false">
      <c r="B60" s="24" t="s">
        <v>173</v>
      </c>
      <c r="C60" s="24" t="s">
        <v>109</v>
      </c>
      <c r="D60" s="31" t="s">
        <v>176</v>
      </c>
      <c r="E60" s="32"/>
      <c r="F60" s="33"/>
      <c r="G60" s="33"/>
      <c r="H60" s="27"/>
      <c r="I60" s="32"/>
    </row>
    <row r="61" customFormat="false" ht="15" hidden="false" customHeight="false" outlineLevel="0" collapsed="false">
      <c r="B61" s="28" t="s">
        <v>173</v>
      </c>
      <c r="C61" s="28" t="s">
        <v>111</v>
      </c>
      <c r="D61" s="34" t="s">
        <v>177</v>
      </c>
      <c r="E61" s="35"/>
      <c r="F61" s="36"/>
      <c r="G61" s="36"/>
      <c r="H61" s="30"/>
      <c r="I61" s="35"/>
    </row>
    <row r="62" customFormat="false" ht="15" hidden="false" customHeight="false" outlineLevel="0" collapsed="false">
      <c r="B62" s="24" t="s">
        <v>173</v>
      </c>
      <c r="C62" s="24" t="s">
        <v>113</v>
      </c>
      <c r="D62" s="31" t="s">
        <v>178</v>
      </c>
      <c r="E62" s="32"/>
      <c r="F62" s="33"/>
      <c r="G62" s="33"/>
      <c r="H62" s="27"/>
      <c r="I62" s="32"/>
    </row>
    <row r="63" customFormat="false" ht="15" hidden="false" customHeight="false" outlineLevel="0" collapsed="false">
      <c r="B63" s="28" t="s">
        <v>173</v>
      </c>
      <c r="C63" s="28" t="s">
        <v>115</v>
      </c>
      <c r="D63" s="34" t="s">
        <v>179</v>
      </c>
      <c r="E63" s="35"/>
      <c r="F63" s="36"/>
      <c r="G63" s="36"/>
      <c r="H63" s="30"/>
      <c r="I63" s="35"/>
    </row>
    <row r="64" customFormat="false" ht="15" hidden="false" customHeight="false" outlineLevel="0" collapsed="false">
      <c r="B64" s="24" t="s">
        <v>180</v>
      </c>
      <c r="C64" s="24" t="s">
        <v>105</v>
      </c>
      <c r="D64" s="31" t="s">
        <v>181</v>
      </c>
      <c r="E64" s="32"/>
      <c r="F64" s="33"/>
      <c r="G64" s="33"/>
      <c r="H64" s="27"/>
      <c r="I64" s="32"/>
    </row>
    <row r="65" customFormat="false" ht="15" hidden="false" customHeight="false" outlineLevel="0" collapsed="false">
      <c r="B65" s="28" t="s">
        <v>180</v>
      </c>
      <c r="C65" s="28" t="s">
        <v>107</v>
      </c>
      <c r="D65" s="34" t="s">
        <v>182</v>
      </c>
      <c r="E65" s="35"/>
      <c r="F65" s="36"/>
      <c r="G65" s="36"/>
      <c r="H65" s="30"/>
      <c r="I65" s="35"/>
    </row>
    <row r="66" customFormat="false" ht="15" hidden="false" customHeight="false" outlineLevel="0" collapsed="false">
      <c r="B66" s="24" t="s">
        <v>180</v>
      </c>
      <c r="C66" s="24" t="s">
        <v>109</v>
      </c>
      <c r="D66" s="31" t="s">
        <v>183</v>
      </c>
      <c r="E66" s="32"/>
      <c r="F66" s="33"/>
      <c r="G66" s="33"/>
      <c r="H66" s="27"/>
      <c r="I66" s="32"/>
    </row>
    <row r="67" customFormat="false" ht="15" hidden="false" customHeight="false" outlineLevel="0" collapsed="false">
      <c r="B67" s="28" t="s">
        <v>180</v>
      </c>
      <c r="C67" s="28" t="s">
        <v>111</v>
      </c>
      <c r="D67" s="34" t="s">
        <v>184</v>
      </c>
      <c r="E67" s="35"/>
      <c r="F67" s="36"/>
      <c r="G67" s="36"/>
      <c r="H67" s="30"/>
      <c r="I67" s="35"/>
    </row>
    <row r="68" customFormat="false" ht="15" hidden="false" customHeight="false" outlineLevel="0" collapsed="false">
      <c r="B68" s="24" t="s">
        <v>180</v>
      </c>
      <c r="C68" s="24" t="s">
        <v>113</v>
      </c>
      <c r="D68" s="31" t="s">
        <v>185</v>
      </c>
      <c r="E68" s="32"/>
      <c r="F68" s="33"/>
      <c r="G68" s="33"/>
      <c r="H68" s="27"/>
      <c r="I68" s="32"/>
    </row>
    <row r="69" customFormat="false" ht="15" hidden="false" customHeight="false" outlineLevel="0" collapsed="false">
      <c r="B69" s="28" t="s">
        <v>180</v>
      </c>
      <c r="C69" s="28" t="s">
        <v>115</v>
      </c>
      <c r="D69" s="34" t="s">
        <v>186</v>
      </c>
      <c r="E69" s="35"/>
      <c r="F69" s="36"/>
      <c r="G69" s="36"/>
      <c r="H69" s="30"/>
      <c r="I69" s="35"/>
    </row>
    <row r="70" customFormat="false" ht="15" hidden="false" customHeight="false" outlineLevel="0" collapsed="false">
      <c r="B70" s="24" t="s">
        <v>187</v>
      </c>
      <c r="C70" s="24" t="s">
        <v>105</v>
      </c>
      <c r="D70" s="31" t="s">
        <v>188</v>
      </c>
      <c r="E70" s="32"/>
      <c r="F70" s="33"/>
      <c r="G70" s="33"/>
      <c r="H70" s="27"/>
      <c r="I70" s="32"/>
    </row>
    <row r="71" customFormat="false" ht="15" hidden="false" customHeight="false" outlineLevel="0" collapsed="false">
      <c r="B71" s="28" t="s">
        <v>187</v>
      </c>
      <c r="C71" s="28" t="s">
        <v>107</v>
      </c>
      <c r="D71" s="34" t="s">
        <v>189</v>
      </c>
      <c r="E71" s="35"/>
      <c r="F71" s="36"/>
      <c r="G71" s="36"/>
      <c r="H71" s="30"/>
      <c r="I71" s="35"/>
    </row>
    <row r="72" customFormat="false" ht="15" hidden="false" customHeight="false" outlineLevel="0" collapsed="false">
      <c r="B72" s="24" t="s">
        <v>187</v>
      </c>
      <c r="C72" s="24" t="s">
        <v>109</v>
      </c>
      <c r="D72" s="31" t="s">
        <v>190</v>
      </c>
      <c r="E72" s="32"/>
      <c r="F72" s="33"/>
      <c r="G72" s="33"/>
      <c r="H72" s="27"/>
      <c r="I72" s="32"/>
    </row>
    <row r="73" customFormat="false" ht="15" hidden="false" customHeight="false" outlineLevel="0" collapsed="false">
      <c r="B73" s="28" t="s">
        <v>187</v>
      </c>
      <c r="C73" s="28" t="s">
        <v>111</v>
      </c>
      <c r="D73" s="34" t="s">
        <v>191</v>
      </c>
      <c r="E73" s="35"/>
      <c r="F73" s="36"/>
      <c r="G73" s="36"/>
      <c r="H73" s="30"/>
      <c r="I73" s="35"/>
    </row>
    <row r="74" customFormat="false" ht="15" hidden="false" customHeight="false" outlineLevel="0" collapsed="false">
      <c r="B74" s="24" t="s">
        <v>187</v>
      </c>
      <c r="C74" s="24" t="s">
        <v>113</v>
      </c>
      <c r="D74" s="31" t="s">
        <v>192</v>
      </c>
      <c r="E74" s="32"/>
      <c r="F74" s="33"/>
      <c r="G74" s="33"/>
      <c r="H74" s="27"/>
      <c r="I74" s="32"/>
    </row>
    <row r="75" customFormat="false" ht="15" hidden="false" customHeight="false" outlineLevel="0" collapsed="false">
      <c r="B75" s="28" t="s">
        <v>187</v>
      </c>
      <c r="C75" s="28" t="s">
        <v>115</v>
      </c>
      <c r="D75" s="34" t="s">
        <v>193</v>
      </c>
      <c r="E75" s="35"/>
      <c r="F75" s="36"/>
      <c r="G75" s="36"/>
      <c r="H75" s="30"/>
      <c r="I75" s="35"/>
    </row>
    <row r="78" customFormat="false" ht="15" hidden="false" customHeight="false" outlineLevel="0" collapsed="false">
      <c r="B78" s="37" t="s">
        <v>194</v>
      </c>
      <c r="C78" s="38" t="n">
        <f aca="false">COUNTA(D4:D75)</f>
        <v>72</v>
      </c>
    </row>
    <row r="79" customFormat="false" ht="15" hidden="false" customHeight="false" outlineLevel="0" collapsed="false">
      <c r="B79" s="37" t="s">
        <v>195</v>
      </c>
      <c r="C79" s="38" t="n">
        <f aca="false">COUNTIF(I4:I75,"Done")</f>
        <v>0</v>
      </c>
    </row>
    <row r="80" customFormat="false" ht="15" hidden="false" customHeight="false" outlineLevel="0" collapsed="false">
      <c r="B80" s="37" t="s">
        <v>196</v>
      </c>
      <c r="C80" s="39" t="n">
        <f aca="false">SUM(G4:G75)</f>
        <v>0</v>
      </c>
    </row>
    <row r="82" customFormat="false" ht="30" hidden="false" customHeight="true" outlineLevel="0" collapsed="false">
      <c r="B82" s="12" t="s">
        <v>197</v>
      </c>
      <c r="C82" s="12"/>
      <c r="D82" s="12"/>
      <c r="E82" s="12"/>
      <c r="F82" s="12"/>
      <c r="G82" s="12"/>
      <c r="H82" s="12"/>
    </row>
  </sheetData>
  <mergeCells count="3">
    <mergeCell ref="A1:H1"/>
    <mergeCell ref="B2:H2"/>
    <mergeCell ref="B82:H82"/>
  </mergeCells>
  <conditionalFormatting sqref="I4:I75">
    <cfRule type="cellIs" priority="2" operator="equal" aboveAverage="0" equalAverage="0" bottom="0" percent="0" rank="0" text="" dxfId="7">
      <formula>"Not started"</formula>
    </cfRule>
    <cfRule type="cellIs" priority="3" operator="equal" aboveAverage="0" equalAverage="0" bottom="0" percent="0" rank="0" text="" dxfId="8">
      <formula>"In progress"</formula>
    </cfRule>
    <cfRule type="cellIs" priority="4" operator="equal" aboveAverage="0" equalAverage="0" bottom="0" percent="0" rank="0" text="" dxfId="9">
      <formula>"Done"</formula>
    </cfRule>
  </conditionalFormatting>
  <dataValidations count="1">
    <dataValidation allowBlank="true" errorStyle="stop" operator="between" showDropDown="false" showErrorMessage="false" showInputMessage="false" sqref="I4:I75" type="list">
      <formula1>"Not started,In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2026-06-21T20:15:47Z</dcterms:created>
  <dc:creator>openpyxl</dc:creator>
  <dc:description/>
  <dc:language>en-US</dc:language>
  <cp:lastModifiedBy/>
  <dcterms:modified xsi:type="dcterms:W3CDTF">2026-06-21T23:31:20Z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